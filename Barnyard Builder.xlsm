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ortheastern-my.sharepoint.com/personal/northrop_b_northeastern_edu/Documents/CS5001/Projects/Final Project/"/>
    </mc:Choice>
  </mc:AlternateContent>
  <xr:revisionPtr revIDLastSave="0" documentId="13_ncr:40009_{17E673CC-1C6B-42FA-A313-3D28C43C1B13}" xr6:coauthVersionLast="47" xr6:coauthVersionMax="47" xr10:uidLastSave="{00000000-0000-0000-0000-000000000000}"/>
  <bookViews>
    <workbookView xWindow="-28920" yWindow="-120" windowWidth="29040" windowHeight="15720" activeTab="1"/>
  </bookViews>
  <sheets>
    <sheet name="Input" sheetId="1" r:id="rId1"/>
    <sheet name="Calculations" sheetId="2" r:id="rId2"/>
  </sheets>
  <calcPr calcId="0"/>
</workbook>
</file>

<file path=xl/calcChain.xml><?xml version="1.0" encoding="utf-8"?>
<calcChain xmlns="http://schemas.openxmlformats.org/spreadsheetml/2006/main">
  <c r="A31" i="2" l="1"/>
  <c r="B2" i="2"/>
  <c r="C2" i="2"/>
  <c r="D2" i="2"/>
  <c r="E2" i="2"/>
  <c r="F2" i="2"/>
  <c r="B3" i="2"/>
  <c r="C3" i="2"/>
  <c r="D3" i="2"/>
  <c r="E3" i="2"/>
  <c r="F3" i="2"/>
  <c r="B4" i="2"/>
  <c r="C4" i="2"/>
  <c r="D4" i="2"/>
  <c r="E4" i="2"/>
  <c r="F4" i="2"/>
  <c r="B5" i="2"/>
  <c r="C5" i="2"/>
  <c r="D5" i="2"/>
  <c r="E5" i="2"/>
  <c r="F5" i="2"/>
  <c r="B6" i="2"/>
  <c r="C6" i="2"/>
  <c r="D6" i="2"/>
  <c r="E6" i="2"/>
  <c r="F6" i="2"/>
  <c r="B7" i="2"/>
  <c r="C7" i="2"/>
  <c r="D7" i="2"/>
  <c r="E7" i="2"/>
  <c r="F7" i="2"/>
  <c r="B8" i="2"/>
  <c r="C8" i="2"/>
  <c r="D8" i="2"/>
  <c r="E8" i="2"/>
  <c r="F8" i="2"/>
  <c r="B9" i="2"/>
  <c r="C9" i="2"/>
  <c r="D9" i="2"/>
  <c r="E9" i="2"/>
  <c r="F9" i="2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16" i="2"/>
  <c r="C16" i="2"/>
  <c r="D16" i="2"/>
  <c r="E16" i="2"/>
  <c r="F16" i="2"/>
  <c r="B17" i="2"/>
  <c r="C17" i="2"/>
  <c r="D17" i="2"/>
  <c r="E17" i="2"/>
  <c r="F17" i="2"/>
  <c r="B18" i="2"/>
  <c r="C18" i="2"/>
  <c r="D18" i="2"/>
  <c r="E18" i="2"/>
  <c r="F18" i="2"/>
  <c r="B19" i="2"/>
  <c r="C19" i="2"/>
  <c r="D19" i="2"/>
  <c r="E19" i="2"/>
  <c r="F19" i="2"/>
  <c r="B20" i="2"/>
  <c r="C20" i="2"/>
  <c r="D20" i="2"/>
  <c r="E20" i="2"/>
  <c r="F20" i="2"/>
  <c r="B21" i="2"/>
  <c r="C21" i="2"/>
  <c r="D21" i="2"/>
  <c r="E21" i="2"/>
  <c r="F21" i="2"/>
  <c r="B22" i="2"/>
  <c r="C22" i="2"/>
  <c r="D22" i="2"/>
  <c r="E22" i="2"/>
  <c r="F22" i="2"/>
  <c r="B23" i="2"/>
  <c r="C23" i="2"/>
  <c r="D23" i="2"/>
  <c r="E23" i="2"/>
  <c r="F23" i="2"/>
  <c r="B24" i="2"/>
  <c r="C24" i="2"/>
  <c r="D24" i="2"/>
  <c r="E24" i="2"/>
  <c r="F24" i="2"/>
  <c r="B25" i="2"/>
  <c r="C25" i="2"/>
  <c r="D25" i="2"/>
  <c r="E25" i="2"/>
  <c r="F25" i="2"/>
  <c r="B26" i="2"/>
  <c r="C26" i="2"/>
  <c r="D26" i="2"/>
  <c r="E26" i="2"/>
  <c r="F26" i="2"/>
  <c r="B27" i="2"/>
  <c r="C27" i="2"/>
  <c r="D27" i="2"/>
  <c r="E27" i="2"/>
  <c r="F27" i="2"/>
  <c r="B28" i="2"/>
  <c r="C28" i="2"/>
  <c r="D28" i="2"/>
  <c r="E28" i="2"/>
  <c r="F28" i="2"/>
  <c r="B29" i="2"/>
  <c r="C29" i="2"/>
  <c r="D29" i="2"/>
  <c r="E29" i="2"/>
  <c r="F29" i="2"/>
  <c r="B30" i="2"/>
  <c r="C30" i="2"/>
  <c r="D30" i="2"/>
  <c r="E30" i="2"/>
  <c r="F3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" i="2"/>
</calcChain>
</file>

<file path=xl/comments1.xml><?xml version="1.0" encoding="utf-8"?>
<comments xmlns="http://schemas.openxmlformats.org/spreadsheetml/2006/main">
  <authors>
    <author>Benjamin Northrop</author>
  </authors>
  <commentList>
    <comment ref="L2" authorId="0" shapeId="0">
      <text>
        <r>
          <rPr>
            <sz val="9"/>
            <color indexed="81"/>
            <rFont val="Tahoma"/>
            <family val="2"/>
          </rPr>
          <t>ICW P2.010-P2.070, CAI P1.060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>ICW P2.110, P2.120, CAI P1.080, P1.090, P1.100, JMPS 1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ICW P3.010-P3.100, JMPS 2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ICW P4.010-.020, P4.040, P4.060-.070, CAI P3.190, EXAM (CR)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OFT 2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>ICW P4.100-P4.120, NITE LAB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>OFT 4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ICW P5.010-P5.050, P5.090-P5.120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>OFT 6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OFT 7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>ICW P6.010-P6.040, P6.080-P6.110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>OFT 9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ICW P7.010-P7.040, P7.060, PTT 5, JMPS 3, FAM 0</t>
        </r>
      </text>
    </comment>
    <comment ref="L15" authorId="0" shapeId="0">
      <text>
        <r>
          <rPr>
            <sz val="9"/>
            <color indexed="81"/>
            <rFont val="Tahoma"/>
            <family val="2"/>
          </rPr>
          <t>WTT 1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FAM 2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>FAM 4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>FAM 5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>ICW P8.010, P8.020, P9.020, P9.030, CAI P9.010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OFT 11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FAM 6N</t>
        </r>
      </text>
    </comment>
    <comment ref="L22" authorId="0" shapeId="0">
      <text>
        <r>
          <rPr>
            <sz val="9"/>
            <color indexed="81"/>
            <rFont val="Tahoma"/>
            <family val="2"/>
          </rPr>
          <t>INST 2N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OFT INST X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>ICW P9.050-P9.080, PTT 6, CAI P9.090, P10.010-P10.030, P10.050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>TOFT 1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DIP 1</t>
        </r>
      </text>
    </comment>
    <comment ref="L27" authorId="0" shapeId="0">
      <text>
        <r>
          <rPr>
            <sz val="9"/>
            <color indexed="81"/>
            <rFont val="Tahoma"/>
            <family val="2"/>
          </rPr>
          <t>SAR 2N</t>
        </r>
      </text>
    </comment>
    <comment ref="L28" authorId="0" shapeId="0">
      <text>
        <r>
          <rPr>
            <sz val="9"/>
            <color indexed="81"/>
            <rFont val="Tahoma"/>
            <family val="2"/>
          </rPr>
          <t>ICW P13.070, EXAM (O), EXAM (C)</t>
        </r>
      </text>
    </comment>
    <comment ref="L29" authorId="0" shapeId="0">
      <text>
        <r>
          <rPr>
            <sz val="9"/>
            <color indexed="81"/>
            <rFont val="Tahoma"/>
            <family val="2"/>
          </rPr>
          <t>TOFT 2X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FAM 9X</t>
        </r>
      </text>
    </comment>
    <comment ref="L31" authorId="0" shapeId="0">
      <text/>
    </comment>
    <comment ref="L32" authorId="0" shapeId="0">
      <text/>
    </comment>
    <comment ref="L33" authorId="0" shapeId="0">
      <text/>
    </comment>
    <comment ref="L34" authorId="0" shapeId="0">
      <text/>
    </comment>
    <comment ref="L35" authorId="0" shapeId="0">
      <text/>
    </comment>
    <comment ref="L36" authorId="0" shapeId="0">
      <text/>
    </comment>
    <comment ref="L37" authorId="0" shapeId="0">
      <text/>
    </comment>
    <comment ref="L38" authorId="0" shapeId="0">
      <text/>
    </comment>
    <comment ref="L39" authorId="0" shapeId="0">
      <text/>
    </comment>
    <comment ref="L40" authorId="0" shapeId="0">
      <text/>
    </comment>
    <comment ref="L41" authorId="0" shapeId="0">
      <text/>
    </comment>
    <comment ref="L42" authorId="0" shapeId="0">
      <text/>
    </comment>
    <comment ref="L43" authorId="0" shapeId="0">
      <text/>
    </comment>
    <comment ref="L44" authorId="0" shapeId="0">
      <text/>
    </comment>
    <comment ref="L45" authorId="0" shapeId="0">
      <text/>
    </comment>
    <comment ref="L46" authorId="0" shapeId="0">
      <text/>
    </comment>
    <comment ref="L47" authorId="0" shapeId="0">
      <text/>
    </comment>
    <comment ref="L48" authorId="0" shapeId="0">
      <text/>
    </comment>
    <comment ref="L49" authorId="0" shapeId="0">
      <text/>
    </comment>
    <comment ref="L50" authorId="0" shapeId="0">
      <text/>
    </comment>
    <comment ref="L51" authorId="0" shapeId="0">
      <text/>
    </comment>
    <comment ref="L52" authorId="0" shapeId="0">
      <text/>
    </comment>
    <comment ref="L53" authorId="0" shapeId="0">
      <text/>
    </comment>
    <comment ref="L54" authorId="0" shapeId="0">
      <text/>
    </comment>
    <comment ref="L55" authorId="0" shapeId="0">
      <text/>
    </comment>
    <comment ref="L56" authorId="0" shapeId="0">
      <text/>
    </comment>
    <comment ref="L57" authorId="0" shapeId="0">
      <text/>
    </comment>
    <comment ref="L58" authorId="0" shapeId="0">
      <text/>
    </comment>
    <comment ref="L59" authorId="0" shapeId="0">
      <text/>
    </comment>
    <comment ref="L60" authorId="0" shapeId="0">
      <text/>
    </comment>
    <comment ref="L61" authorId="0" shapeId="0">
      <text/>
    </comment>
    <comment ref="L62" authorId="0" shapeId="0">
      <text/>
    </comment>
    <comment ref="L63" authorId="0" shapeId="0">
      <text/>
    </comment>
    <comment ref="L64" authorId="0" shapeId="0">
      <text/>
    </comment>
    <comment ref="L65" authorId="0" shapeId="0">
      <text/>
    </comment>
    <comment ref="L66" authorId="0" shapeId="0">
      <text/>
    </comment>
    <comment ref="L67" authorId="0" shapeId="0">
      <text/>
    </comment>
    <comment ref="L68" authorId="0" shapeId="0">
      <text/>
    </comment>
    <comment ref="L69" authorId="0" shapeId="0">
      <text/>
    </comment>
    <comment ref="L70" authorId="0" shapeId="0">
      <text/>
    </comment>
    <comment ref="L71" authorId="0" shapeId="0">
      <text/>
    </comment>
    <comment ref="L72" authorId="0" shapeId="0">
      <text/>
    </comment>
    <comment ref="L73" authorId="0" shapeId="0">
      <text/>
    </comment>
    <comment ref="L74" authorId="0" shapeId="0">
      <text/>
    </comment>
    <comment ref="L75" authorId="0" shapeId="0">
      <text/>
    </comment>
    <comment ref="L76" authorId="0" shapeId="0">
      <text/>
    </comment>
    <comment ref="L77" authorId="0" shapeId="0">
      <text/>
    </comment>
    <comment ref="L78" authorId="0" shapeId="0">
      <text/>
    </comment>
    <comment ref="L79" authorId="0" shapeId="0">
      <text/>
    </comment>
    <comment ref="L80" authorId="0" shapeId="0">
      <text/>
    </comment>
    <comment ref="L81" authorId="0" shapeId="0">
      <text/>
    </comment>
    <comment ref="L82" authorId="0" shapeId="0">
      <text/>
    </comment>
    <comment ref="L83" authorId="0" shapeId="0">
      <text/>
    </comment>
    <comment ref="L84" authorId="0" shapeId="0">
      <text/>
    </comment>
    <comment ref="L85" authorId="0" shapeId="0">
      <text/>
    </comment>
    <comment ref="L86" authorId="0" shapeId="0">
      <text/>
    </comment>
    <comment ref="L87" authorId="0" shapeId="0">
      <text/>
    </comment>
    <comment ref="L88" authorId="0" shapeId="0">
      <text/>
    </comment>
    <comment ref="L89" authorId="0" shapeId="0">
      <text/>
    </comment>
    <comment ref="L90" authorId="0" shapeId="0">
      <text/>
    </comment>
    <comment ref="L91" authorId="0" shapeId="0">
      <text/>
    </comment>
    <comment ref="L92" authorId="0" shapeId="0">
      <text/>
    </comment>
    <comment ref="L93" authorId="0" shapeId="0">
      <text/>
    </comment>
    <comment ref="L94" authorId="0" shapeId="0">
      <text/>
    </comment>
    <comment ref="L95" authorId="0" shapeId="0">
      <text/>
    </comment>
    <comment ref="L96" authorId="0" shapeId="0">
      <text/>
    </comment>
    <comment ref="L97" authorId="0" shapeId="0">
      <text/>
    </comment>
    <comment ref="L98" authorId="0" shapeId="0">
      <text/>
    </comment>
    <comment ref="L99" authorId="0" shapeId="0">
      <text/>
    </comment>
    <comment ref="L100" authorId="0" shapeId="0">
      <text/>
    </comment>
    <comment ref="L101" authorId="0" shapeId="0">
      <text/>
    </comment>
    <comment ref="L102" authorId="0" shapeId="0">
      <text/>
    </comment>
    <comment ref="L103" authorId="0" shapeId="0">
      <text/>
    </comment>
    <comment ref="L104" authorId="0" shapeId="0">
      <text/>
    </comment>
    <comment ref="L105" authorId="0" shapeId="0">
      <text/>
    </comment>
    <comment ref="L106" authorId="0" shapeId="0">
      <text/>
    </comment>
    <comment ref="L107" authorId="0" shapeId="0">
      <text/>
    </comment>
    <comment ref="L108" authorId="0" shapeId="0">
      <text/>
    </comment>
    <comment ref="L109" authorId="0" shapeId="0">
      <text/>
    </comment>
    <comment ref="L110" authorId="0" shapeId="0">
      <text/>
    </comment>
    <comment ref="L111" authorId="0" shapeId="0">
      <text/>
    </comment>
    <comment ref="L112" authorId="0" shapeId="0">
      <text/>
    </comment>
    <comment ref="L113" authorId="0" shapeId="0">
      <text/>
    </comment>
    <comment ref="L114" authorId="0" shapeId="0">
      <text/>
    </comment>
    <comment ref="L115" authorId="0" shapeId="0">
      <text/>
    </comment>
    <comment ref="L116" authorId="0" shapeId="0">
      <text/>
    </comment>
    <comment ref="L117" authorId="0" shapeId="0">
      <text/>
    </comment>
    <comment ref="L118" authorId="0" shapeId="0">
      <text/>
    </comment>
    <comment ref="L119" authorId="0" shapeId="0">
      <text/>
    </comment>
    <comment ref="L120" authorId="0" shapeId="0">
      <text/>
    </comment>
    <comment ref="L121" authorId="0" shapeId="0">
      <text/>
    </comment>
    <comment ref="L122" authorId="0" shapeId="0">
      <text/>
    </comment>
    <comment ref="L123" authorId="0" shapeId="0">
      <text/>
    </comment>
    <comment ref="L124" authorId="0" shapeId="0">
      <text/>
    </comment>
    <comment ref="L125" authorId="0" shapeId="0">
      <text/>
    </comment>
    <comment ref="L126" authorId="0" shapeId="0">
      <text/>
    </comment>
    <comment ref="L127" authorId="0" shapeId="0">
      <text/>
    </comment>
    <comment ref="L128" authorId="0" shapeId="0">
      <text/>
    </comment>
    <comment ref="L129" authorId="0" shapeId="0">
      <text/>
    </comment>
    <comment ref="L130" authorId="0" shapeId="0">
      <text/>
    </comment>
    <comment ref="L131" authorId="0" shapeId="0">
      <text/>
    </comment>
    <comment ref="L132" authorId="0" shapeId="0">
      <text/>
    </comment>
    <comment ref="L133" authorId="0" shapeId="0">
      <text/>
    </comment>
    <comment ref="L134" authorId="0" shapeId="0">
      <text/>
    </comment>
    <comment ref="L135" authorId="0" shapeId="0">
      <text/>
    </comment>
    <comment ref="L136" authorId="0" shapeId="0">
      <text/>
    </comment>
    <comment ref="L137" authorId="0" shapeId="0">
      <text/>
    </comment>
    <comment ref="L138" authorId="0" shapeId="0">
      <text/>
    </comment>
    <comment ref="L139" authorId="0" shapeId="0">
      <text/>
    </comment>
    <comment ref="L140" authorId="0" shapeId="0">
      <text/>
    </comment>
    <comment ref="L141" authorId="0" shapeId="0">
      <text/>
    </comment>
    <comment ref="L142" authorId="0" shapeId="0">
      <text/>
    </comment>
    <comment ref="L143" authorId="0" shapeId="0">
      <text/>
    </comment>
    <comment ref="L144" authorId="0" shapeId="0">
      <text/>
    </comment>
    <comment ref="L145" authorId="0" shapeId="0">
      <text/>
    </comment>
    <comment ref="L146" authorId="0" shapeId="0">
      <text/>
    </comment>
    <comment ref="L147" authorId="0" shapeId="0">
      <text/>
    </comment>
    <comment ref="L148" authorId="0" shapeId="0">
      <text/>
    </comment>
    <comment ref="L149" authorId="0" shapeId="0">
      <text/>
    </comment>
    <comment ref="L150" authorId="0" shapeId="0">
      <text/>
    </comment>
    <comment ref="L151" authorId="0" shapeId="0">
      <text/>
    </comment>
    <comment ref="L152" authorId="0" shapeId="0">
      <text/>
    </comment>
    <comment ref="L153" authorId="0" shapeId="0">
      <text/>
    </comment>
    <comment ref="L154" authorId="0" shapeId="0">
      <text/>
    </comment>
    <comment ref="L155" authorId="0" shapeId="0">
      <text/>
    </comment>
    <comment ref="L156" authorId="0" shapeId="0">
      <text/>
    </comment>
    <comment ref="L157" authorId="0" shapeId="0">
      <text/>
    </comment>
    <comment ref="L158" authorId="0" shapeId="0">
      <text/>
    </comment>
    <comment ref="L159" authorId="0" shapeId="0">
      <text/>
    </comment>
    <comment ref="L160" authorId="0" shapeId="0">
      <text/>
    </comment>
    <comment ref="L161" authorId="0" shapeId="0">
      <text/>
    </comment>
    <comment ref="L162" authorId="0" shapeId="0">
      <text/>
    </comment>
    <comment ref="L163" authorId="0" shapeId="0">
      <text/>
    </comment>
    <comment ref="L164" authorId="0" shapeId="0">
      <text/>
    </comment>
    <comment ref="L165" authorId="0" shapeId="0">
      <text/>
    </comment>
    <comment ref="L166" authorId="0" shapeId="0">
      <text/>
    </comment>
    <comment ref="L167" authorId="0" shapeId="0">
      <text/>
    </comment>
    <comment ref="L168" authorId="0" shapeId="0">
      <text/>
    </comment>
    <comment ref="L169" authorId="0" shapeId="0">
      <text/>
    </comment>
    <comment ref="L170" authorId="0" shapeId="0">
      <text/>
    </comment>
    <comment ref="L171" authorId="0" shapeId="0">
      <text/>
    </comment>
    <comment ref="L172" authorId="0" shapeId="0">
      <text/>
    </comment>
    <comment ref="L173" authorId="0" shapeId="0">
      <text/>
    </comment>
    <comment ref="L174" authorId="0" shapeId="0">
      <text/>
    </comment>
    <comment ref="L175" authorId="0" shapeId="0">
      <text/>
    </comment>
    <comment ref="L176" authorId="0" shapeId="0">
      <text/>
    </comment>
    <comment ref="L177" authorId="0" shapeId="0">
      <text/>
    </comment>
    <comment ref="L178" authorId="0" shapeId="0">
      <text/>
    </comment>
    <comment ref="L179" authorId="0" shapeId="0">
      <text/>
    </comment>
    <comment ref="L180" authorId="0" shapeId="0">
      <text/>
    </comment>
    <comment ref="L181" authorId="0" shapeId="0">
      <text/>
    </comment>
    <comment ref="L182" authorId="0" shapeId="0">
      <text/>
    </comment>
    <comment ref="L183" authorId="0" shapeId="0">
      <text/>
    </comment>
    <comment ref="L184" authorId="0" shapeId="0">
      <text/>
    </comment>
    <comment ref="L185" authorId="0" shapeId="0">
      <text/>
    </comment>
    <comment ref="L186" authorId="0" shapeId="0">
      <text/>
    </comment>
    <comment ref="L187" authorId="0" shapeId="0">
      <text/>
    </comment>
    <comment ref="L188" authorId="0" shapeId="0">
      <text/>
    </comment>
    <comment ref="L189" authorId="0" shapeId="0">
      <text/>
    </comment>
    <comment ref="L190" authorId="0" shapeId="0">
      <text/>
    </comment>
    <comment ref="L191" authorId="0" shapeId="0">
      <text/>
    </comment>
    <comment ref="L192" authorId="0" shapeId="0">
      <text/>
    </comment>
    <comment ref="L193" authorId="0" shapeId="0">
      <text/>
    </comment>
    <comment ref="L194" authorId="0" shapeId="0">
      <text/>
    </comment>
    <comment ref="L195" authorId="0" shapeId="0">
      <text/>
    </comment>
    <comment ref="L196" authorId="0" shapeId="0">
      <text/>
    </comment>
    <comment ref="L197" authorId="0" shapeId="0">
      <text/>
    </comment>
    <comment ref="L198" authorId="0" shapeId="0">
      <text/>
    </comment>
    <comment ref="L199" authorId="0" shapeId="0">
      <text/>
    </comment>
    <comment ref="L200" authorId="0" shapeId="0">
      <text/>
    </comment>
    <comment ref="L201" authorId="0" shapeId="0">
      <text/>
    </comment>
    <comment ref="L202" authorId="0" shapeId="0">
      <text/>
    </comment>
    <comment ref="L203" authorId="0" shapeId="0">
      <text/>
    </comment>
    <comment ref="L204" authorId="0" shapeId="0">
      <text/>
    </comment>
  </commentList>
</comments>
</file>

<file path=xl/sharedStrings.xml><?xml version="1.0" encoding="utf-8"?>
<sst xmlns="http://schemas.openxmlformats.org/spreadsheetml/2006/main" count="172" uniqueCount="75">
  <si>
    <t>DAY</t>
  </si>
  <si>
    <t>ICW</t>
  </si>
  <si>
    <t>PTT</t>
  </si>
  <si>
    <t>CAI</t>
  </si>
  <si>
    <t>IGR</t>
  </si>
  <si>
    <t>LAB</t>
  </si>
  <si>
    <t>MISC</t>
  </si>
  <si>
    <t>HRS</t>
  </si>
  <si>
    <t>LOCATION</t>
  </si>
  <si>
    <t>FLT</t>
  </si>
  <si>
    <t>SIM</t>
  </si>
  <si>
    <t>P2.010-P2.070</t>
  </si>
  <si>
    <t>P1.060</t>
  </si>
  <si>
    <t>0.5, 6.5</t>
  </si>
  <si>
    <t>P2.110, P2.120</t>
  </si>
  <si>
    <t>P1.080, P1.090, P1.100</t>
  </si>
  <si>
    <t>JMPS 1</t>
  </si>
  <si>
    <t>2.0, 1.0, 1.0, 0.5, 1.0, 2.0</t>
  </si>
  <si>
    <t>P3.010-P3.100</t>
  </si>
  <si>
    <t>JMPS 2</t>
  </si>
  <si>
    <t>5.5, 3.0</t>
  </si>
  <si>
    <t>P4.010-.020, P4.040, P4.060-.070</t>
  </si>
  <si>
    <t>P3.190</t>
  </si>
  <si>
    <t>EXAM (CR)</t>
  </si>
  <si>
    <t>1.5, 0.5, 2.0, 1.0, 2.0</t>
  </si>
  <si>
    <t>MSN PLN</t>
  </si>
  <si>
    <t>2.0, 6.0</t>
  </si>
  <si>
    <t>OFT 2</t>
  </si>
  <si>
    <t>P4.100-P4.120</t>
  </si>
  <si>
    <t>NITE LAB</t>
  </si>
  <si>
    <t>3.0, 5.0</t>
  </si>
  <si>
    <t>OFT 4</t>
  </si>
  <si>
    <t>P5.010-P5.050, P5.090-P5.120</t>
  </si>
  <si>
    <t>4.0, 4.0</t>
  </si>
  <si>
    <t>OFT 6</t>
  </si>
  <si>
    <t>OFT 7</t>
  </si>
  <si>
    <t>P6.010-P6.040, P6.080-P6.110</t>
  </si>
  <si>
    <t>OFT 9</t>
  </si>
  <si>
    <t>P7.010-P7.040, P7.060</t>
  </si>
  <si>
    <t>JMPS 3, FAM 0</t>
  </si>
  <si>
    <t>2.0, 1.0, 1.0, 1.5, 3.0</t>
  </si>
  <si>
    <t>WTT 1</t>
  </si>
  <si>
    <t>2.5, 5.5</t>
  </si>
  <si>
    <t>FAM 2</t>
  </si>
  <si>
    <t>FAM 4</t>
  </si>
  <si>
    <t>FAM 5</t>
  </si>
  <si>
    <t>P8.010, P8.020, P9.020, P9.030</t>
  </si>
  <si>
    <t>P9.010</t>
  </si>
  <si>
    <t>1.0, 1.0, 0.5, 0.5, 1.0</t>
  </si>
  <si>
    <t>OFT 11</t>
  </si>
  <si>
    <t>FAM 6N</t>
  </si>
  <si>
    <t>INST 2N</t>
  </si>
  <si>
    <t>OFT INST X</t>
  </si>
  <si>
    <t>P9.050-P9.080</t>
  </si>
  <si>
    <t>P9.090, P10.010-P10.030, P10.050</t>
  </si>
  <si>
    <t>2.5, 0.5, 1.0, 3.0, 1.0</t>
  </si>
  <si>
    <t>TOFT 1</t>
  </si>
  <si>
    <t>DIP 1</t>
  </si>
  <si>
    <t>SAR 2N</t>
  </si>
  <si>
    <t>P13.070</t>
  </si>
  <si>
    <t>EXAM (O), EXAM (C)</t>
  </si>
  <si>
    <t>3.0, 3.0, 1.0</t>
  </si>
  <si>
    <t>TOFT 2X</t>
  </si>
  <si>
    <t>FAM 9X</t>
  </si>
  <si>
    <t>Barnyard Comments</t>
  </si>
  <si>
    <t>ICW P2.010-P2.070, CAI P1.060</t>
  </si>
  <si>
    <t>ICW P2.110, P2.120, CAI P1.080, P1.090, P1.100, JMPS 1</t>
  </si>
  <si>
    <t>ICW P3.010-P3.100, JMPS 2</t>
  </si>
  <si>
    <t>ICW P4.010-.020, P4.040, P4.060-.070, CAI P3.190, EXAM (CR)</t>
  </si>
  <si>
    <t>ICW P4.100-P4.120, NITE LAB</t>
  </si>
  <si>
    <t>ICW P5.010-P5.050, P5.090-P5.120</t>
  </si>
  <si>
    <t>ICW P6.010-P6.040, P6.080-P6.110</t>
  </si>
  <si>
    <t>ICW P7.010-P7.040, P7.060, PTT 5, JMPS 3, FAM 0</t>
  </si>
  <si>
    <t>ICW P8.010, P8.020, P9.020, P9.030, CAI P9.010</t>
  </si>
  <si>
    <t>ICW P13.070, EXAM (O), EXAM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</si>
</sst>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workbookViewId="0">
      <selection activeCell="K11" sqref="K11"/>
    </sheetView>
  </sheetViews>
  <sheetFormatPr defaultRowHeight="14.4" x14ac:dyDescent="0.55000000000000004"/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>
        <v>1</v>
      </c>
      <c r="B2" t="s">
        <v>11</v>
      </c>
      <c r="D2" t="s">
        <v>12</v>
      </c>
      <c r="H2" t="s">
        <v>13</v>
      </c>
    </row>
    <row r="3" spans="1:11" x14ac:dyDescent="0.55000000000000004">
      <c r="A3">
        <v>2</v>
      </c>
      <c r="B3" t="s">
        <v>14</v>
      </c>
      <c r="D3" t="s">
        <v>15</v>
      </c>
      <c r="F3" t="s">
        <v>16</v>
      </c>
      <c r="H3" t="s">
        <v>17</v>
      </c>
    </row>
    <row r="4" spans="1:11" x14ac:dyDescent="0.55000000000000004">
      <c r="A4">
        <v>3</v>
      </c>
      <c r="B4" t="s">
        <v>18</v>
      </c>
      <c r="F4" t="s">
        <v>19</v>
      </c>
      <c r="H4" t="s">
        <v>20</v>
      </c>
    </row>
    <row r="5" spans="1:11" x14ac:dyDescent="0.55000000000000004">
      <c r="A5">
        <v>4</v>
      </c>
      <c r="B5" t="s">
        <v>21</v>
      </c>
      <c r="D5" t="s">
        <v>22</v>
      </c>
      <c r="F5" t="s">
        <v>23</v>
      </c>
      <c r="H5" t="s">
        <v>24</v>
      </c>
    </row>
    <row r="6" spans="1:11" x14ac:dyDescent="0.55000000000000004">
      <c r="A6">
        <v>5</v>
      </c>
      <c r="G6" t="s">
        <v>25</v>
      </c>
      <c r="H6" t="s">
        <v>26</v>
      </c>
      <c r="K6" t="s">
        <v>27</v>
      </c>
    </row>
    <row r="7" spans="1:11" x14ac:dyDescent="0.55000000000000004">
      <c r="A7">
        <v>6</v>
      </c>
      <c r="B7" t="s">
        <v>28</v>
      </c>
      <c r="F7" t="s">
        <v>29</v>
      </c>
      <c r="H7" t="s">
        <v>30</v>
      </c>
    </row>
    <row r="8" spans="1:11" x14ac:dyDescent="0.55000000000000004">
      <c r="A8">
        <v>7</v>
      </c>
      <c r="G8" t="s">
        <v>25</v>
      </c>
      <c r="H8" t="s">
        <v>26</v>
      </c>
      <c r="K8" t="s">
        <v>31</v>
      </c>
    </row>
    <row r="9" spans="1:11" x14ac:dyDescent="0.55000000000000004">
      <c r="A9">
        <v>8</v>
      </c>
      <c r="B9" t="s">
        <v>32</v>
      </c>
      <c r="H9" t="s">
        <v>33</v>
      </c>
    </row>
    <row r="10" spans="1:11" x14ac:dyDescent="0.55000000000000004">
      <c r="A10">
        <v>9</v>
      </c>
      <c r="G10" t="s">
        <v>25</v>
      </c>
      <c r="H10" t="s">
        <v>26</v>
      </c>
      <c r="K10" t="s">
        <v>34</v>
      </c>
    </row>
    <row r="11" spans="1:11" x14ac:dyDescent="0.55000000000000004">
      <c r="A11">
        <v>10</v>
      </c>
      <c r="G11" t="s">
        <v>25</v>
      </c>
      <c r="H11" t="s">
        <v>26</v>
      </c>
      <c r="K11" t="s">
        <v>35</v>
      </c>
    </row>
    <row r="12" spans="1:11" x14ac:dyDescent="0.55000000000000004">
      <c r="A12">
        <v>11</v>
      </c>
      <c r="B12" t="s">
        <v>36</v>
      </c>
      <c r="H12" t="s">
        <v>33</v>
      </c>
    </row>
    <row r="13" spans="1:11" x14ac:dyDescent="0.55000000000000004">
      <c r="A13">
        <v>12</v>
      </c>
      <c r="G13" t="s">
        <v>25</v>
      </c>
      <c r="H13" t="s">
        <v>26</v>
      </c>
      <c r="K13" t="s">
        <v>37</v>
      </c>
    </row>
    <row r="14" spans="1:11" x14ac:dyDescent="0.55000000000000004">
      <c r="A14">
        <v>13</v>
      </c>
      <c r="B14" t="s">
        <v>38</v>
      </c>
      <c r="C14">
        <v>5</v>
      </c>
      <c r="F14" t="s">
        <v>39</v>
      </c>
      <c r="H14" t="s">
        <v>40</v>
      </c>
    </row>
    <row r="15" spans="1:11" x14ac:dyDescent="0.55000000000000004">
      <c r="A15">
        <v>14</v>
      </c>
      <c r="G15" t="s">
        <v>25</v>
      </c>
      <c r="H15" t="s">
        <v>26</v>
      </c>
      <c r="K15" t="s">
        <v>41</v>
      </c>
    </row>
    <row r="16" spans="1:11" x14ac:dyDescent="0.55000000000000004">
      <c r="A16">
        <v>15</v>
      </c>
      <c r="G16" t="s">
        <v>25</v>
      </c>
      <c r="H16" t="s">
        <v>42</v>
      </c>
      <c r="J16" t="s">
        <v>43</v>
      </c>
    </row>
    <row r="17" spans="1:11" x14ac:dyDescent="0.55000000000000004">
      <c r="A17">
        <v>16</v>
      </c>
      <c r="G17" t="s">
        <v>25</v>
      </c>
      <c r="H17" t="s">
        <v>42</v>
      </c>
      <c r="J17" t="s">
        <v>44</v>
      </c>
    </row>
    <row r="18" spans="1:11" x14ac:dyDescent="0.55000000000000004">
      <c r="A18">
        <v>17</v>
      </c>
      <c r="G18" t="s">
        <v>25</v>
      </c>
      <c r="H18" t="s">
        <v>42</v>
      </c>
      <c r="J18" t="s">
        <v>45</v>
      </c>
    </row>
    <row r="19" spans="1:11" x14ac:dyDescent="0.55000000000000004">
      <c r="A19">
        <v>19</v>
      </c>
      <c r="B19" t="s">
        <v>46</v>
      </c>
      <c r="D19" t="s">
        <v>47</v>
      </c>
      <c r="H19" t="s">
        <v>48</v>
      </c>
    </row>
    <row r="20" spans="1:11" x14ac:dyDescent="0.55000000000000004">
      <c r="A20">
        <v>20</v>
      </c>
      <c r="G20" t="s">
        <v>25</v>
      </c>
      <c r="H20" t="s">
        <v>26</v>
      </c>
      <c r="K20" t="s">
        <v>49</v>
      </c>
    </row>
    <row r="21" spans="1:11" x14ac:dyDescent="0.55000000000000004">
      <c r="A21">
        <v>21</v>
      </c>
      <c r="G21" t="s">
        <v>25</v>
      </c>
      <c r="H21" t="s">
        <v>42</v>
      </c>
      <c r="J21" t="s">
        <v>50</v>
      </c>
    </row>
    <row r="22" spans="1:11" x14ac:dyDescent="0.55000000000000004">
      <c r="A22">
        <v>22</v>
      </c>
      <c r="G22" t="s">
        <v>25</v>
      </c>
      <c r="H22" t="s">
        <v>42</v>
      </c>
      <c r="J22" t="s">
        <v>51</v>
      </c>
    </row>
    <row r="23" spans="1:11" x14ac:dyDescent="0.55000000000000004">
      <c r="A23">
        <v>23</v>
      </c>
      <c r="G23" t="s">
        <v>25</v>
      </c>
      <c r="H23" t="s">
        <v>26</v>
      </c>
      <c r="K23" t="s">
        <v>52</v>
      </c>
    </row>
    <row r="24" spans="1:11" x14ac:dyDescent="0.55000000000000004">
      <c r="A24">
        <v>24</v>
      </c>
      <c r="B24" t="s">
        <v>53</v>
      </c>
      <c r="C24">
        <v>6</v>
      </c>
      <c r="D24" t="s">
        <v>54</v>
      </c>
      <c r="H24" t="s">
        <v>55</v>
      </c>
    </row>
    <row r="25" spans="1:11" x14ac:dyDescent="0.55000000000000004">
      <c r="A25">
        <v>25</v>
      </c>
      <c r="F25" t="s">
        <v>56</v>
      </c>
      <c r="G25" t="s">
        <v>25</v>
      </c>
      <c r="H25" t="s">
        <v>26</v>
      </c>
    </row>
    <row r="26" spans="1:11" x14ac:dyDescent="0.55000000000000004">
      <c r="A26">
        <v>26</v>
      </c>
      <c r="G26" t="s">
        <v>25</v>
      </c>
      <c r="H26" t="s">
        <v>26</v>
      </c>
      <c r="J26" t="s">
        <v>57</v>
      </c>
    </row>
    <row r="27" spans="1:11" x14ac:dyDescent="0.55000000000000004">
      <c r="A27">
        <v>27</v>
      </c>
      <c r="G27" t="s">
        <v>25</v>
      </c>
      <c r="H27" t="s">
        <v>42</v>
      </c>
      <c r="J27" t="s">
        <v>58</v>
      </c>
    </row>
    <row r="28" spans="1:11" x14ac:dyDescent="0.55000000000000004">
      <c r="A28">
        <v>28</v>
      </c>
      <c r="B28" t="s">
        <v>59</v>
      </c>
      <c r="F28" t="s">
        <v>60</v>
      </c>
      <c r="H28" t="s">
        <v>61</v>
      </c>
    </row>
    <row r="29" spans="1:11" x14ac:dyDescent="0.55000000000000004">
      <c r="A29">
        <v>29</v>
      </c>
      <c r="F29" t="s">
        <v>62</v>
      </c>
      <c r="G29" t="s">
        <v>25</v>
      </c>
      <c r="H29" t="s">
        <v>26</v>
      </c>
    </row>
    <row r="30" spans="1:11" x14ac:dyDescent="0.55000000000000004">
      <c r="A30">
        <v>30</v>
      </c>
      <c r="G30" t="s">
        <v>25</v>
      </c>
      <c r="H30" t="s">
        <v>26</v>
      </c>
      <c r="J30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04"/>
  <sheetViews>
    <sheetView tabSelected="1" zoomScaleNormal="100" workbookViewId="0">
      <selection activeCell="L2" sqref="L2"/>
    </sheetView>
  </sheetViews>
  <sheetFormatPr defaultRowHeight="14.4" x14ac:dyDescent="0.55000000000000004"/>
  <cols>
    <col min="12" max="12" width="57.41796875" bestFit="1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64</v>
      </c>
    </row>
    <row r="2" spans="1:12" x14ac:dyDescent="0.55000000000000004">
      <c r="A2">
        <f>IF(ISBLANK(Input!A2),"",Input!A2)</f>
        <v>1</v>
      </c>
      <c r="B2" t="str">
        <f>IF(NOT(ISBLANK(Input!B2)),_xlfn.CONCAT(Calculations!B$1," ", Input!B2), "")</f>
        <v>ICW P2.010-P2.070</v>
      </c>
      <c r="C2" t="str">
        <f>IF(NOT(ISBLANK(Input!C2)),_xlfn.CONCAT(Calculations!C$1," ", Input!C2), "")</f>
        <v/>
      </c>
      <c r="D2" t="str">
        <f>IF(NOT(ISBLANK(Input!D2)),_xlfn.CONCAT(Calculations!D$1," ", Input!D2), "")</f>
        <v>CAI P1.060</v>
      </c>
      <c r="E2" t="str">
        <f>IF(NOT(ISBLANK(Input!E2)),_xlfn.CONCAT(Calculations!E$1," ", Input!E2), "")</f>
        <v/>
      </c>
      <c r="F2" t="str">
        <f>IF(NOT(ISBLANK(Input!F2)),_xlfn.CONCAT( Input!F2), "")</f>
        <v/>
      </c>
      <c r="H2">
        <v>7</v>
      </c>
      <c r="L2" t="s">
        <v>65</v>
      </c>
    </row>
    <row r="3" spans="1:12" x14ac:dyDescent="0.55000000000000004">
      <c r="A3">
        <f>IF(ISBLANK(Input!A3),"",Input!A3)</f>
        <v>2</v>
      </c>
      <c r="B3" t="str">
        <f>IF(NOT(ISBLANK(Input!B3)),_xlfn.CONCAT(Calculations!B$1," ", Input!B3), "")</f>
        <v>ICW P2.110, P2.120</v>
      </c>
      <c r="C3" t="str">
        <f>IF(NOT(ISBLANK(Input!C3)),_xlfn.CONCAT(Calculations!C$1," ", Input!C3), "")</f>
        <v/>
      </c>
      <c r="D3" t="str">
        <f>IF(NOT(ISBLANK(Input!D3)),_xlfn.CONCAT(Calculations!D$1," ", Input!D3), "")</f>
        <v>CAI P1.080, P1.090, P1.100</v>
      </c>
      <c r="E3" t="str">
        <f>IF(NOT(ISBLANK(Input!E3)),_xlfn.CONCAT(Calculations!E$1," ", Input!E3), "")</f>
        <v/>
      </c>
      <c r="F3" t="str">
        <f>IF(NOT(ISBLANK(Input!F3)),_xlfn.CONCAT( Input!F3), "")</f>
        <v>JMPS 1</v>
      </c>
      <c r="H3">
        <v>7.5</v>
      </c>
      <c r="L3" t="s">
        <v>66</v>
      </c>
    </row>
    <row r="4" spans="1:12" x14ac:dyDescent="0.55000000000000004">
      <c r="A4">
        <f>IF(ISBLANK(Input!A4),"",Input!A4)</f>
        <v>3</v>
      </c>
      <c r="B4" t="str">
        <f>IF(NOT(ISBLANK(Input!B4)),_xlfn.CONCAT(Calculations!B$1," ", Input!B4), "")</f>
        <v>ICW P3.010-P3.100</v>
      </c>
      <c r="C4" t="str">
        <f>IF(NOT(ISBLANK(Input!C4)),_xlfn.CONCAT(Calculations!C$1," ", Input!C4), "")</f>
        <v/>
      </c>
      <c r="D4" t="str">
        <f>IF(NOT(ISBLANK(Input!D4)),_xlfn.CONCAT(Calculations!D$1," ", Input!D4), "")</f>
        <v/>
      </c>
      <c r="E4" t="str">
        <f>IF(NOT(ISBLANK(Input!E4)),_xlfn.CONCAT(Calculations!E$1," ", Input!E4), "")</f>
        <v/>
      </c>
      <c r="F4" t="str">
        <f>IF(NOT(ISBLANK(Input!F4)),_xlfn.CONCAT( Input!F4), "")</f>
        <v>JMPS 2</v>
      </c>
      <c r="H4">
        <v>8.5</v>
      </c>
      <c r="L4" t="s">
        <v>67</v>
      </c>
    </row>
    <row r="5" spans="1:12" x14ac:dyDescent="0.55000000000000004">
      <c r="A5">
        <f>IF(ISBLANK(Input!A5),"",Input!A5)</f>
        <v>4</v>
      </c>
      <c r="B5" t="str">
        <f>IF(NOT(ISBLANK(Input!B5)),_xlfn.CONCAT(Calculations!B$1," ", Input!B5), "")</f>
        <v>ICW P4.010-.020, P4.040, P4.060-.070</v>
      </c>
      <c r="C5" t="str">
        <f>IF(NOT(ISBLANK(Input!C5)),_xlfn.CONCAT(Calculations!C$1," ", Input!C5), "")</f>
        <v/>
      </c>
      <c r="D5" t="str">
        <f>IF(NOT(ISBLANK(Input!D5)),_xlfn.CONCAT(Calculations!D$1," ", Input!D5), "")</f>
        <v>CAI P3.190</v>
      </c>
      <c r="E5" t="str">
        <f>IF(NOT(ISBLANK(Input!E5)),_xlfn.CONCAT(Calculations!E$1," ", Input!E5), "")</f>
        <v/>
      </c>
      <c r="F5" t="str">
        <f>IF(NOT(ISBLANK(Input!F5)),_xlfn.CONCAT( Input!F5), "")</f>
        <v>EXAM (CR)</v>
      </c>
      <c r="H5">
        <v>7</v>
      </c>
      <c r="L5" t="s">
        <v>68</v>
      </c>
    </row>
    <row r="6" spans="1:12" x14ac:dyDescent="0.55000000000000004">
      <c r="A6">
        <f>IF(ISBLANK(Input!A6),"",Input!A6)</f>
        <v>5</v>
      </c>
      <c r="B6" t="str">
        <f>IF(NOT(ISBLANK(Input!B6)),_xlfn.CONCAT(Calculations!B$1," ", Input!B6), "")</f>
        <v/>
      </c>
      <c r="C6" t="str">
        <f>IF(NOT(ISBLANK(Input!C6)),_xlfn.CONCAT(Calculations!C$1," ", Input!C6), "")</f>
        <v/>
      </c>
      <c r="D6" t="str">
        <f>IF(NOT(ISBLANK(Input!D6)),_xlfn.CONCAT(Calculations!D$1," ", Input!D6), "")</f>
        <v/>
      </c>
      <c r="E6" t="str">
        <f>IF(NOT(ISBLANK(Input!E6)),_xlfn.CONCAT(Calculations!E$1," ", Input!E6), "")</f>
        <v/>
      </c>
      <c r="F6" t="str">
        <f>IF(NOT(ISBLANK(Input!F6)),_xlfn.CONCAT( Input!F6), "")</f>
        <v/>
      </c>
      <c r="G6" t="s">
        <v>25</v>
      </c>
      <c r="H6">
        <v>8</v>
      </c>
      <c r="K6" t="s">
        <v>27</v>
      </c>
      <c r="L6" t="s">
        <v>27</v>
      </c>
    </row>
    <row r="7" spans="1:12" x14ac:dyDescent="0.55000000000000004">
      <c r="A7">
        <f>IF(ISBLANK(Input!A7),"",Input!A7)</f>
        <v>6</v>
      </c>
      <c r="B7" t="str">
        <f>IF(NOT(ISBLANK(Input!B7)),_xlfn.CONCAT(Calculations!B$1," ", Input!B7), "")</f>
        <v>ICW P4.100-P4.120</v>
      </c>
      <c r="C7" t="str">
        <f>IF(NOT(ISBLANK(Input!C7)),_xlfn.CONCAT(Calculations!C$1," ", Input!C7), "")</f>
        <v/>
      </c>
      <c r="D7" t="str">
        <f>IF(NOT(ISBLANK(Input!D7)),_xlfn.CONCAT(Calculations!D$1," ", Input!D7), "")</f>
        <v/>
      </c>
      <c r="E7" t="str">
        <f>IF(NOT(ISBLANK(Input!E7)),_xlfn.CONCAT(Calculations!E$1," ", Input!E7), "")</f>
        <v/>
      </c>
      <c r="F7" t="str">
        <f>IF(NOT(ISBLANK(Input!F7)),_xlfn.CONCAT( Input!F7), "")</f>
        <v>NITE LAB</v>
      </c>
      <c r="H7">
        <v>8</v>
      </c>
      <c r="L7" t="s">
        <v>69</v>
      </c>
    </row>
    <row r="8" spans="1:12" x14ac:dyDescent="0.55000000000000004">
      <c r="A8">
        <f>IF(ISBLANK(Input!A8),"",Input!A8)</f>
        <v>7</v>
      </c>
      <c r="B8" t="str">
        <f>IF(NOT(ISBLANK(Input!B8)),_xlfn.CONCAT(Calculations!B$1," ", Input!B8), "")</f>
        <v/>
      </c>
      <c r="C8" t="str">
        <f>IF(NOT(ISBLANK(Input!C8)),_xlfn.CONCAT(Calculations!C$1," ", Input!C8), "")</f>
        <v/>
      </c>
      <c r="D8" t="str">
        <f>IF(NOT(ISBLANK(Input!D8)),_xlfn.CONCAT(Calculations!D$1," ", Input!D8), "")</f>
        <v/>
      </c>
      <c r="E8" t="str">
        <f>IF(NOT(ISBLANK(Input!E8)),_xlfn.CONCAT(Calculations!E$1," ", Input!E8), "")</f>
        <v/>
      </c>
      <c r="F8" t="str">
        <f>IF(NOT(ISBLANK(Input!F8)),_xlfn.CONCAT( Input!F8), "")</f>
        <v/>
      </c>
      <c r="G8" t="s">
        <v>25</v>
      </c>
      <c r="H8">
        <v>8</v>
      </c>
      <c r="K8" t="s">
        <v>31</v>
      </c>
      <c r="L8" t="s">
        <v>31</v>
      </c>
    </row>
    <row r="9" spans="1:12" x14ac:dyDescent="0.55000000000000004">
      <c r="A9">
        <f>IF(ISBLANK(Input!A9),"",Input!A9)</f>
        <v>8</v>
      </c>
      <c r="B9" t="str">
        <f>IF(NOT(ISBLANK(Input!B9)),_xlfn.CONCAT(Calculations!B$1," ", Input!B9), "")</f>
        <v>ICW P5.010-P5.050, P5.090-P5.120</v>
      </c>
      <c r="C9" t="str">
        <f>IF(NOT(ISBLANK(Input!C9)),_xlfn.CONCAT(Calculations!C$1," ", Input!C9), "")</f>
        <v/>
      </c>
      <c r="D9" t="str">
        <f>IF(NOT(ISBLANK(Input!D9)),_xlfn.CONCAT(Calculations!D$1," ", Input!D9), "")</f>
        <v/>
      </c>
      <c r="E9" t="str">
        <f>IF(NOT(ISBLANK(Input!E9)),_xlfn.CONCAT(Calculations!E$1," ", Input!E9), "")</f>
        <v/>
      </c>
      <c r="F9" t="str">
        <f>IF(NOT(ISBLANK(Input!F9)),_xlfn.CONCAT( Input!F9), "")</f>
        <v/>
      </c>
      <c r="H9">
        <v>8</v>
      </c>
      <c r="L9" t="s">
        <v>70</v>
      </c>
    </row>
    <row r="10" spans="1:12" x14ac:dyDescent="0.55000000000000004">
      <c r="A10">
        <f>IF(ISBLANK(Input!A10),"",Input!A10)</f>
        <v>9</v>
      </c>
      <c r="B10" t="str">
        <f>IF(NOT(ISBLANK(Input!B10)),_xlfn.CONCAT(Calculations!B$1," ", Input!B10), "")</f>
        <v/>
      </c>
      <c r="C10" t="str">
        <f>IF(NOT(ISBLANK(Input!C10)),_xlfn.CONCAT(Calculations!C$1," ", Input!C10), "")</f>
        <v/>
      </c>
      <c r="D10" t="str">
        <f>IF(NOT(ISBLANK(Input!D10)),_xlfn.CONCAT(Calculations!D$1," ", Input!D10), "")</f>
        <v/>
      </c>
      <c r="E10" t="str">
        <f>IF(NOT(ISBLANK(Input!E10)),_xlfn.CONCAT(Calculations!E$1," ", Input!E10), "")</f>
        <v/>
      </c>
      <c r="F10" t="str">
        <f>IF(NOT(ISBLANK(Input!F10)),_xlfn.CONCAT( Input!F10), "")</f>
        <v/>
      </c>
      <c r="G10" t="s">
        <v>25</v>
      </c>
      <c r="H10">
        <v>8</v>
      </c>
      <c r="K10" t="s">
        <v>34</v>
      </c>
      <c r="L10" t="s">
        <v>34</v>
      </c>
    </row>
    <row r="11" spans="1:12" x14ac:dyDescent="0.55000000000000004">
      <c r="A11">
        <f>IF(ISBLANK(Input!A11),"",Input!A11)</f>
        <v>10</v>
      </c>
      <c r="B11" t="str">
        <f>IF(NOT(ISBLANK(Input!B11)),_xlfn.CONCAT(Calculations!B$1," ", Input!B11), "")</f>
        <v/>
      </c>
      <c r="C11" t="str">
        <f>IF(NOT(ISBLANK(Input!C11)),_xlfn.CONCAT(Calculations!C$1," ", Input!C11), "")</f>
        <v/>
      </c>
      <c r="D11" t="str">
        <f>IF(NOT(ISBLANK(Input!D11)),_xlfn.CONCAT(Calculations!D$1," ", Input!D11), "")</f>
        <v/>
      </c>
      <c r="E11" t="str">
        <f>IF(NOT(ISBLANK(Input!E11)),_xlfn.CONCAT(Calculations!E$1," ", Input!E11), "")</f>
        <v/>
      </c>
      <c r="F11" t="str">
        <f>IF(NOT(ISBLANK(Input!F11)),_xlfn.CONCAT( Input!F11), "")</f>
        <v/>
      </c>
      <c r="G11" t="s">
        <v>25</v>
      </c>
      <c r="H11">
        <v>8</v>
      </c>
      <c r="K11" t="s">
        <v>35</v>
      </c>
      <c r="L11" t="s">
        <v>35</v>
      </c>
    </row>
    <row r="12" spans="1:12" x14ac:dyDescent="0.55000000000000004">
      <c r="A12">
        <f>IF(ISBLANK(Input!A12),"",Input!A12)</f>
        <v>11</v>
      </c>
      <c r="B12" t="str">
        <f>IF(NOT(ISBLANK(Input!B12)),_xlfn.CONCAT(Calculations!B$1," ", Input!B12), "")</f>
        <v>ICW P6.010-P6.040, P6.080-P6.110</v>
      </c>
      <c r="C12" t="str">
        <f>IF(NOT(ISBLANK(Input!C12)),_xlfn.CONCAT(Calculations!C$1," ", Input!C12), "")</f>
        <v/>
      </c>
      <c r="D12" t="str">
        <f>IF(NOT(ISBLANK(Input!D12)),_xlfn.CONCAT(Calculations!D$1," ", Input!D12), "")</f>
        <v/>
      </c>
      <c r="E12" t="str">
        <f>IF(NOT(ISBLANK(Input!E12)),_xlfn.CONCAT(Calculations!E$1," ", Input!E12), "")</f>
        <v/>
      </c>
      <c r="F12" t="str">
        <f>IF(NOT(ISBLANK(Input!F12)),_xlfn.CONCAT( Input!F12), "")</f>
        <v/>
      </c>
      <c r="H12">
        <v>8</v>
      </c>
      <c r="L12" t="s">
        <v>71</v>
      </c>
    </row>
    <row r="13" spans="1:12" x14ac:dyDescent="0.55000000000000004">
      <c r="A13">
        <f>IF(ISBLANK(Input!A13),"",Input!A13)</f>
        <v>12</v>
      </c>
      <c r="B13" t="str">
        <f>IF(NOT(ISBLANK(Input!B13)),_xlfn.CONCAT(Calculations!B$1," ", Input!B13), "")</f>
        <v/>
      </c>
      <c r="C13" t="str">
        <f>IF(NOT(ISBLANK(Input!C13)),_xlfn.CONCAT(Calculations!C$1," ", Input!C13), "")</f>
        <v/>
      </c>
      <c r="D13" t="str">
        <f>IF(NOT(ISBLANK(Input!D13)),_xlfn.CONCAT(Calculations!D$1," ", Input!D13), "")</f>
        <v/>
      </c>
      <c r="E13" t="str">
        <f>IF(NOT(ISBLANK(Input!E13)),_xlfn.CONCAT(Calculations!E$1," ", Input!E13), "")</f>
        <v/>
      </c>
      <c r="F13" t="str">
        <f>IF(NOT(ISBLANK(Input!F13)),_xlfn.CONCAT( Input!F13), "")</f>
        <v/>
      </c>
      <c r="G13" t="s">
        <v>25</v>
      </c>
      <c r="H13">
        <v>8</v>
      </c>
      <c r="K13" t="s">
        <v>37</v>
      </c>
      <c r="L13" t="s">
        <v>37</v>
      </c>
    </row>
    <row r="14" spans="1:12" x14ac:dyDescent="0.55000000000000004">
      <c r="A14">
        <f>IF(ISBLANK(Input!A14),"",Input!A14)</f>
        <v>13</v>
      </c>
      <c r="B14" t="str">
        <f>IF(NOT(ISBLANK(Input!B14)),_xlfn.CONCAT(Calculations!B$1," ", Input!B14), "")</f>
        <v>ICW P7.010-P7.040, P7.060</v>
      </c>
      <c r="C14" t="str">
        <f>IF(NOT(ISBLANK(Input!C14)),_xlfn.CONCAT(Calculations!C$1," ", Input!C14), "")</f>
        <v>PTT 5</v>
      </c>
      <c r="D14" t="str">
        <f>IF(NOT(ISBLANK(Input!D14)),_xlfn.CONCAT(Calculations!D$1," ", Input!D14), "")</f>
        <v/>
      </c>
      <c r="E14" t="str">
        <f>IF(NOT(ISBLANK(Input!E14)),_xlfn.CONCAT(Calculations!E$1," ", Input!E14), "")</f>
        <v/>
      </c>
      <c r="F14" t="str">
        <f>IF(NOT(ISBLANK(Input!F14)),_xlfn.CONCAT( Input!F14), "")</f>
        <v>JMPS 3, FAM 0</v>
      </c>
      <c r="H14">
        <v>8.5</v>
      </c>
      <c r="L14" t="s">
        <v>72</v>
      </c>
    </row>
    <row r="15" spans="1:12" x14ac:dyDescent="0.55000000000000004">
      <c r="A15">
        <f>IF(ISBLANK(Input!A15),"",Input!A15)</f>
        <v>14</v>
      </c>
      <c r="B15" t="str">
        <f>IF(NOT(ISBLANK(Input!B15)),_xlfn.CONCAT(Calculations!B$1," ", Input!B15), "")</f>
        <v/>
      </c>
      <c r="C15" t="str">
        <f>IF(NOT(ISBLANK(Input!C15)),_xlfn.CONCAT(Calculations!C$1," ", Input!C15), "")</f>
        <v/>
      </c>
      <c r="D15" t="str">
        <f>IF(NOT(ISBLANK(Input!D15)),_xlfn.CONCAT(Calculations!D$1," ", Input!D15), "")</f>
        <v/>
      </c>
      <c r="E15" t="str">
        <f>IF(NOT(ISBLANK(Input!E15)),_xlfn.CONCAT(Calculations!E$1," ", Input!E15), "")</f>
        <v/>
      </c>
      <c r="F15" t="str">
        <f>IF(NOT(ISBLANK(Input!F15)),_xlfn.CONCAT( Input!F15), "")</f>
        <v/>
      </c>
      <c r="G15" t="s">
        <v>25</v>
      </c>
      <c r="H15">
        <v>8</v>
      </c>
      <c r="K15" t="s">
        <v>41</v>
      </c>
      <c r="L15" t="s">
        <v>41</v>
      </c>
    </row>
    <row r="16" spans="1:12" x14ac:dyDescent="0.55000000000000004">
      <c r="A16">
        <f>IF(ISBLANK(Input!A16),"",Input!A16)</f>
        <v>15</v>
      </c>
      <c r="B16" t="str">
        <f>IF(NOT(ISBLANK(Input!B16)),_xlfn.CONCAT(Calculations!B$1," ", Input!B16), "")</f>
        <v/>
      </c>
      <c r="C16" t="str">
        <f>IF(NOT(ISBLANK(Input!C16)),_xlfn.CONCAT(Calculations!C$1," ", Input!C16), "")</f>
        <v/>
      </c>
      <c r="D16" t="str">
        <f>IF(NOT(ISBLANK(Input!D16)),_xlfn.CONCAT(Calculations!D$1," ", Input!D16), "")</f>
        <v/>
      </c>
      <c r="E16" t="str">
        <f>IF(NOT(ISBLANK(Input!E16)),_xlfn.CONCAT(Calculations!E$1," ", Input!E16), "")</f>
        <v/>
      </c>
      <c r="F16" t="str">
        <f>IF(NOT(ISBLANK(Input!F16)),_xlfn.CONCAT( Input!F16), "")</f>
        <v/>
      </c>
      <c r="G16" t="s">
        <v>25</v>
      </c>
      <c r="H16">
        <v>8</v>
      </c>
      <c r="J16" t="s">
        <v>43</v>
      </c>
      <c r="L16" t="s">
        <v>43</v>
      </c>
    </row>
    <row r="17" spans="1:12" x14ac:dyDescent="0.55000000000000004">
      <c r="A17">
        <f>IF(ISBLANK(Input!A17),"",Input!A17)</f>
        <v>16</v>
      </c>
      <c r="B17" t="str">
        <f>IF(NOT(ISBLANK(Input!B17)),_xlfn.CONCAT(Calculations!B$1," ", Input!B17), "")</f>
        <v/>
      </c>
      <c r="C17" t="str">
        <f>IF(NOT(ISBLANK(Input!C17)),_xlfn.CONCAT(Calculations!C$1," ", Input!C17), "")</f>
        <v/>
      </c>
      <c r="D17" t="str">
        <f>IF(NOT(ISBLANK(Input!D17)),_xlfn.CONCAT(Calculations!D$1," ", Input!D17), "")</f>
        <v/>
      </c>
      <c r="E17" t="str">
        <f>IF(NOT(ISBLANK(Input!E17)),_xlfn.CONCAT(Calculations!E$1," ", Input!E17), "")</f>
        <v/>
      </c>
      <c r="F17" t="str">
        <f>IF(NOT(ISBLANK(Input!F17)),_xlfn.CONCAT( Input!F17), "")</f>
        <v/>
      </c>
      <c r="G17" t="s">
        <v>25</v>
      </c>
      <c r="H17">
        <v>8</v>
      </c>
      <c r="J17" t="s">
        <v>44</v>
      </c>
      <c r="L17" t="s">
        <v>44</v>
      </c>
    </row>
    <row r="18" spans="1:12" x14ac:dyDescent="0.55000000000000004">
      <c r="A18">
        <f>IF(ISBLANK(Input!A18),"",Input!A18)</f>
        <v>17</v>
      </c>
      <c r="B18" t="str">
        <f>IF(NOT(ISBLANK(Input!B18)),_xlfn.CONCAT(Calculations!B$1," ", Input!B18), "")</f>
        <v/>
      </c>
      <c r="C18" t="str">
        <f>IF(NOT(ISBLANK(Input!C18)),_xlfn.CONCAT(Calculations!C$1," ", Input!C18), "")</f>
        <v/>
      </c>
      <c r="D18" t="str">
        <f>IF(NOT(ISBLANK(Input!D18)),_xlfn.CONCAT(Calculations!D$1," ", Input!D18), "")</f>
        <v/>
      </c>
      <c r="E18" t="str">
        <f>IF(NOT(ISBLANK(Input!E18)),_xlfn.CONCAT(Calculations!E$1," ", Input!E18), "")</f>
        <v/>
      </c>
      <c r="F18" t="str">
        <f>IF(NOT(ISBLANK(Input!F18)),_xlfn.CONCAT( Input!F18), "")</f>
        <v/>
      </c>
      <c r="G18" t="s">
        <v>25</v>
      </c>
      <c r="H18">
        <v>8</v>
      </c>
      <c r="J18" t="s">
        <v>45</v>
      </c>
      <c r="L18" t="s">
        <v>45</v>
      </c>
    </row>
    <row r="19" spans="1:12" x14ac:dyDescent="0.55000000000000004">
      <c r="A19">
        <f>IF(ISBLANK(Input!A19),"",Input!A19)</f>
        <v>19</v>
      </c>
      <c r="B19" t="str">
        <f>IF(NOT(ISBLANK(Input!B19)),_xlfn.CONCAT(Calculations!B$1," ", Input!B19), "")</f>
        <v>ICW P8.010, P8.020, P9.020, P9.030</v>
      </c>
      <c r="C19" t="str">
        <f>IF(NOT(ISBLANK(Input!C19)),_xlfn.CONCAT(Calculations!C$1," ", Input!C19), "")</f>
        <v/>
      </c>
      <c r="D19" t="str">
        <f>IF(NOT(ISBLANK(Input!D19)),_xlfn.CONCAT(Calculations!D$1," ", Input!D19), "")</f>
        <v>CAI P9.010</v>
      </c>
      <c r="E19" t="str">
        <f>IF(NOT(ISBLANK(Input!E19)),_xlfn.CONCAT(Calculations!E$1," ", Input!E19), "")</f>
        <v/>
      </c>
      <c r="F19" t="str">
        <f>IF(NOT(ISBLANK(Input!F19)),_xlfn.CONCAT( Input!F19), "")</f>
        <v/>
      </c>
      <c r="H19">
        <v>4</v>
      </c>
      <c r="L19" t="s">
        <v>73</v>
      </c>
    </row>
    <row r="20" spans="1:12" x14ac:dyDescent="0.55000000000000004">
      <c r="A20">
        <f>IF(ISBLANK(Input!A20),"",Input!A20)</f>
        <v>20</v>
      </c>
      <c r="B20" t="str">
        <f>IF(NOT(ISBLANK(Input!B20)),_xlfn.CONCAT(Calculations!B$1," ", Input!B20), "")</f>
        <v/>
      </c>
      <c r="C20" t="str">
        <f>IF(NOT(ISBLANK(Input!C20)),_xlfn.CONCAT(Calculations!C$1," ", Input!C20), "")</f>
        <v/>
      </c>
      <c r="D20" t="str">
        <f>IF(NOT(ISBLANK(Input!D20)),_xlfn.CONCAT(Calculations!D$1," ", Input!D20), "")</f>
        <v/>
      </c>
      <c r="E20" t="str">
        <f>IF(NOT(ISBLANK(Input!E20)),_xlfn.CONCAT(Calculations!E$1," ", Input!E20), "")</f>
        <v/>
      </c>
      <c r="F20" t="str">
        <f>IF(NOT(ISBLANK(Input!F20)),_xlfn.CONCAT( Input!F20), "")</f>
        <v/>
      </c>
      <c r="G20" t="s">
        <v>25</v>
      </c>
      <c r="H20">
        <v>8</v>
      </c>
      <c r="K20" t="s">
        <v>49</v>
      </c>
      <c r="L20" t="s">
        <v>49</v>
      </c>
    </row>
    <row r="21" spans="1:12" x14ac:dyDescent="0.55000000000000004">
      <c r="A21">
        <f>IF(ISBLANK(Input!A21),"",Input!A21)</f>
        <v>21</v>
      </c>
      <c r="B21" t="str">
        <f>IF(NOT(ISBLANK(Input!B21)),_xlfn.CONCAT(Calculations!B$1," ", Input!B21), "")</f>
        <v/>
      </c>
      <c r="C21" t="str">
        <f>IF(NOT(ISBLANK(Input!C21)),_xlfn.CONCAT(Calculations!C$1," ", Input!C21), "")</f>
        <v/>
      </c>
      <c r="D21" t="str">
        <f>IF(NOT(ISBLANK(Input!D21)),_xlfn.CONCAT(Calculations!D$1," ", Input!D21), "")</f>
        <v/>
      </c>
      <c r="E21" t="str">
        <f>IF(NOT(ISBLANK(Input!E21)),_xlfn.CONCAT(Calculations!E$1," ", Input!E21), "")</f>
        <v/>
      </c>
      <c r="F21" t="str">
        <f>IF(NOT(ISBLANK(Input!F21)),_xlfn.CONCAT( Input!F21), "")</f>
        <v/>
      </c>
      <c r="G21" t="s">
        <v>25</v>
      </c>
      <c r="H21">
        <v>8</v>
      </c>
      <c r="J21" t="s">
        <v>50</v>
      </c>
      <c r="L21" t="s">
        <v>50</v>
      </c>
    </row>
    <row r="22" spans="1:12" x14ac:dyDescent="0.55000000000000004">
      <c r="A22">
        <f>IF(ISBLANK(Input!A22),"",Input!A22)</f>
        <v>22</v>
      </c>
      <c r="B22" t="str">
        <f>IF(NOT(ISBLANK(Input!B22)),_xlfn.CONCAT(Calculations!B$1," ", Input!B22), "")</f>
        <v/>
      </c>
      <c r="C22" t="str">
        <f>IF(NOT(ISBLANK(Input!C22)),_xlfn.CONCAT(Calculations!C$1," ", Input!C22), "")</f>
        <v/>
      </c>
      <c r="D22" t="str">
        <f>IF(NOT(ISBLANK(Input!D22)),_xlfn.CONCAT(Calculations!D$1," ", Input!D22), "")</f>
        <v/>
      </c>
      <c r="E22" t="str">
        <f>IF(NOT(ISBLANK(Input!E22)),_xlfn.CONCAT(Calculations!E$1," ", Input!E22), "")</f>
        <v/>
      </c>
      <c r="F22" t="str">
        <f>IF(NOT(ISBLANK(Input!F22)),_xlfn.CONCAT( Input!F22), "")</f>
        <v/>
      </c>
      <c r="G22" t="s">
        <v>25</v>
      </c>
      <c r="H22">
        <v>8</v>
      </c>
      <c r="J22" t="s">
        <v>51</v>
      </c>
      <c r="L22" t="s">
        <v>51</v>
      </c>
    </row>
    <row r="23" spans="1:12" x14ac:dyDescent="0.55000000000000004">
      <c r="A23">
        <f>IF(ISBLANK(Input!A23),"",Input!A23)</f>
        <v>23</v>
      </c>
      <c r="B23" t="str">
        <f>IF(NOT(ISBLANK(Input!B23)),_xlfn.CONCAT(Calculations!B$1," ", Input!B23), "")</f>
        <v/>
      </c>
      <c r="C23" t="str">
        <f>IF(NOT(ISBLANK(Input!C23)),_xlfn.CONCAT(Calculations!C$1," ", Input!C23), "")</f>
        <v/>
      </c>
      <c r="D23" t="str">
        <f>IF(NOT(ISBLANK(Input!D23)),_xlfn.CONCAT(Calculations!D$1," ", Input!D23), "")</f>
        <v/>
      </c>
      <c r="E23" t="str">
        <f>IF(NOT(ISBLANK(Input!E23)),_xlfn.CONCAT(Calculations!E$1," ", Input!E23), "")</f>
        <v/>
      </c>
      <c r="F23" t="str">
        <f>IF(NOT(ISBLANK(Input!F23)),_xlfn.CONCAT( Input!F23), "")</f>
        <v/>
      </c>
      <c r="G23" t="s">
        <v>25</v>
      </c>
      <c r="H23">
        <v>8</v>
      </c>
      <c r="K23" t="s">
        <v>52</v>
      </c>
      <c r="L23" t="s">
        <v>52</v>
      </c>
    </row>
    <row r="24" spans="1:12" x14ac:dyDescent="0.55000000000000004">
      <c r="A24">
        <f>IF(ISBLANK(Input!A24),"",Input!A24)</f>
        <v>24</v>
      </c>
      <c r="B24" t="str">
        <f>IF(NOT(ISBLANK(Input!B24)),_xlfn.CONCAT(Calculations!B$1," ", Input!B24), "")</f>
        <v>ICW P9.050-P9.080</v>
      </c>
      <c r="C24" t="str">
        <f>IF(NOT(ISBLANK(Input!C24)),_xlfn.CONCAT(Calculations!C$1," ", Input!C24), "")</f>
        <v>PTT 6</v>
      </c>
      <c r="D24" t="str">
        <f>IF(NOT(ISBLANK(Input!D24)),_xlfn.CONCAT(Calculations!D$1," ", Input!D24), "")</f>
        <v>CAI P9.090, P10.010-P10.030, P10.050</v>
      </c>
      <c r="E24" t="str">
        <f>IF(NOT(ISBLANK(Input!E24)),_xlfn.CONCAT(Calculations!E$1," ", Input!E24), "")</f>
        <v/>
      </c>
      <c r="F24" t="str">
        <f>IF(NOT(ISBLANK(Input!F24)),_xlfn.CONCAT( Input!F24), "")</f>
        <v/>
      </c>
      <c r="H24">
        <v>8</v>
      </c>
    </row>
    <row r="25" spans="1:12" x14ac:dyDescent="0.55000000000000004">
      <c r="A25">
        <f>IF(ISBLANK(Input!A25),"",Input!A25)</f>
        <v>25</v>
      </c>
      <c r="B25" t="str">
        <f>IF(NOT(ISBLANK(Input!B25)),_xlfn.CONCAT(Calculations!B$1," ", Input!B25), "")</f>
        <v/>
      </c>
      <c r="C25" t="str">
        <f>IF(NOT(ISBLANK(Input!C25)),_xlfn.CONCAT(Calculations!C$1," ", Input!C25), "")</f>
        <v/>
      </c>
      <c r="D25" t="str">
        <f>IF(NOT(ISBLANK(Input!D25)),_xlfn.CONCAT(Calculations!D$1," ", Input!D25), "")</f>
        <v/>
      </c>
      <c r="E25" t="str">
        <f>IF(NOT(ISBLANK(Input!E25)),_xlfn.CONCAT(Calculations!E$1," ", Input!E25), "")</f>
        <v/>
      </c>
      <c r="F25" t="str">
        <f>IF(NOT(ISBLANK(Input!F25)),_xlfn.CONCAT( Input!F25), "")</f>
        <v>TOFT 1</v>
      </c>
      <c r="G25" t="s">
        <v>25</v>
      </c>
      <c r="H25">
        <v>8</v>
      </c>
      <c r="L25" t="s">
        <v>56</v>
      </c>
    </row>
    <row r="26" spans="1:12" x14ac:dyDescent="0.55000000000000004">
      <c r="A26">
        <f>IF(ISBLANK(Input!A26),"",Input!A26)</f>
        <v>26</v>
      </c>
      <c r="B26" t="str">
        <f>IF(NOT(ISBLANK(Input!B26)),_xlfn.CONCAT(Calculations!B$1," ", Input!B26), "")</f>
        <v/>
      </c>
      <c r="C26" t="str">
        <f>IF(NOT(ISBLANK(Input!C26)),_xlfn.CONCAT(Calculations!C$1," ", Input!C26), "")</f>
        <v/>
      </c>
      <c r="D26" t="str">
        <f>IF(NOT(ISBLANK(Input!D26)),_xlfn.CONCAT(Calculations!D$1," ", Input!D26), "")</f>
        <v/>
      </c>
      <c r="E26" t="str">
        <f>IF(NOT(ISBLANK(Input!E26)),_xlfn.CONCAT(Calculations!E$1," ", Input!E26), "")</f>
        <v/>
      </c>
      <c r="F26" t="str">
        <f>IF(NOT(ISBLANK(Input!F26)),_xlfn.CONCAT( Input!F26), "")</f>
        <v/>
      </c>
      <c r="G26" t="s">
        <v>25</v>
      </c>
      <c r="H26">
        <v>8</v>
      </c>
      <c r="J26" t="s">
        <v>57</v>
      </c>
      <c r="L26" t="s">
        <v>57</v>
      </c>
    </row>
    <row r="27" spans="1:12" x14ac:dyDescent="0.55000000000000004">
      <c r="A27">
        <f>IF(ISBLANK(Input!A27),"",Input!A27)</f>
        <v>27</v>
      </c>
      <c r="B27" t="str">
        <f>IF(NOT(ISBLANK(Input!B27)),_xlfn.CONCAT(Calculations!B$1," ", Input!B27), "")</f>
        <v/>
      </c>
      <c r="C27" t="str">
        <f>IF(NOT(ISBLANK(Input!C27)),_xlfn.CONCAT(Calculations!C$1," ", Input!C27), "")</f>
        <v/>
      </c>
      <c r="D27" t="str">
        <f>IF(NOT(ISBLANK(Input!D27)),_xlfn.CONCAT(Calculations!D$1," ", Input!D27), "")</f>
        <v/>
      </c>
      <c r="E27" t="str">
        <f>IF(NOT(ISBLANK(Input!E27)),_xlfn.CONCAT(Calculations!E$1," ", Input!E27), "")</f>
        <v/>
      </c>
      <c r="F27" t="str">
        <f>IF(NOT(ISBLANK(Input!F27)),_xlfn.CONCAT( Input!F27), "")</f>
        <v/>
      </c>
      <c r="G27" t="s">
        <v>25</v>
      </c>
      <c r="H27">
        <v>8</v>
      </c>
      <c r="J27" t="s">
        <v>58</v>
      </c>
      <c r="L27" t="s">
        <v>58</v>
      </c>
    </row>
    <row r="28" spans="1:12" x14ac:dyDescent="0.55000000000000004">
      <c r="A28">
        <f>IF(ISBLANK(Input!A28),"",Input!A28)</f>
        <v>28</v>
      </c>
      <c r="B28" t="str">
        <f>IF(NOT(ISBLANK(Input!B28)),_xlfn.CONCAT(Calculations!B$1," ", Input!B28), "")</f>
        <v>ICW P13.070</v>
      </c>
      <c r="C28" t="str">
        <f>IF(NOT(ISBLANK(Input!C28)),_xlfn.CONCAT(Calculations!C$1," ", Input!C28), "")</f>
        <v/>
      </c>
      <c r="D28" t="str">
        <f>IF(NOT(ISBLANK(Input!D28)),_xlfn.CONCAT(Calculations!D$1," ", Input!D28), "")</f>
        <v/>
      </c>
      <c r="E28" t="str">
        <f>IF(NOT(ISBLANK(Input!E28)),_xlfn.CONCAT(Calculations!E$1," ", Input!E28), "")</f>
        <v/>
      </c>
      <c r="F28" t="str">
        <f>IF(NOT(ISBLANK(Input!F28)),_xlfn.CONCAT( Input!F28), "")</f>
        <v>EXAM (O), EXAM (C)</v>
      </c>
      <c r="H28">
        <v>7</v>
      </c>
      <c r="L28" t="s">
        <v>74</v>
      </c>
    </row>
    <row r="29" spans="1:12" x14ac:dyDescent="0.55000000000000004">
      <c r="A29">
        <f>IF(ISBLANK(Input!A29),"",Input!A29)</f>
        <v>29</v>
      </c>
      <c r="B29" t="str">
        <f>IF(NOT(ISBLANK(Input!B29)),_xlfn.CONCAT(Calculations!B$1," ", Input!B29), "")</f>
        <v/>
      </c>
      <c r="C29" t="str">
        <f>IF(NOT(ISBLANK(Input!C29)),_xlfn.CONCAT(Calculations!C$1," ", Input!C29), "")</f>
        <v/>
      </c>
      <c r="D29" t="str">
        <f>IF(NOT(ISBLANK(Input!D29)),_xlfn.CONCAT(Calculations!D$1," ", Input!D29), "")</f>
        <v/>
      </c>
      <c r="E29" t="str">
        <f>IF(NOT(ISBLANK(Input!E29)),_xlfn.CONCAT(Calculations!E$1," ", Input!E29), "")</f>
        <v/>
      </c>
      <c r="F29" t="str">
        <f>IF(NOT(ISBLANK(Input!F29)),_xlfn.CONCAT( Input!F29), "")</f>
        <v>TOFT 2X</v>
      </c>
      <c r="G29" t="s">
        <v>25</v>
      </c>
      <c r="H29">
        <v>8</v>
      </c>
      <c r="L29" t="s">
        <v>62</v>
      </c>
    </row>
    <row r="30" spans="1:12" x14ac:dyDescent="0.55000000000000004">
      <c r="A30">
        <f>IF(ISBLANK(Input!A30),"",Input!A30)</f>
        <v>30</v>
      </c>
      <c r="B30" t="str">
        <f>IF(NOT(ISBLANK(Input!B30)),_xlfn.CONCAT(Calculations!B$1," ", Input!B30), "")</f>
        <v/>
      </c>
      <c r="C30" t="str">
        <f>IF(NOT(ISBLANK(Input!C30)),_xlfn.CONCAT(Calculations!C$1," ", Input!C30), "")</f>
        <v/>
      </c>
      <c r="D30" t="str">
        <f>IF(NOT(ISBLANK(Input!D30)),_xlfn.CONCAT(Calculations!D$1," ", Input!D30), "")</f>
        <v/>
      </c>
      <c r="E30" t="str">
        <f>IF(NOT(ISBLANK(Input!E30)),_xlfn.CONCAT(Calculations!E$1," ", Input!E30), "")</f>
        <v/>
      </c>
      <c r="F30" t="str">
        <f>IF(NOT(ISBLANK(Input!F30)),_xlfn.CONCAT( Input!F30), "")</f>
        <v/>
      </c>
      <c r="G30" t="s">
        <v>25</v>
      </c>
      <c r="H30">
        <v>8</v>
      </c>
      <c r="J30" t="s">
        <v>63</v>
      </c>
      <c r="L30" t="s">
        <v>63</v>
      </c>
    </row>
    <row r="31" spans="1:12" x14ac:dyDescent="0.55000000000000004">
      <c r="A31" t="str">
        <f>IF(ISBLANK(Input!A31),"",Input!A31)</f>
        <v/>
      </c>
    </row>
    <row r="32" spans="1:12" x14ac:dyDescent="0.55000000000000004">
      <c r="A32" t="str">
        <f>IF(ISBLANK(Input!A32),"",Input!A32)</f>
        <v/>
      </c>
    </row>
    <row r="33" spans="1:12" x14ac:dyDescent="0.55000000000000004">
      <c r="A33" t="str">
        <f>IF(ISBLANK(Input!A33),"",Input!A33)</f>
        <v/>
      </c>
    </row>
    <row r="34" spans="1:12" x14ac:dyDescent="0.55000000000000004">
      <c r="A34" t="str">
        <f>IF(ISBLANK(Input!A34),"",Input!A34)</f>
        <v/>
      </c>
    </row>
    <row r="35" spans="1:12" x14ac:dyDescent="0.55000000000000004">
      <c r="A35" t="str">
        <f>IF(ISBLANK(Input!A35),"",Input!A35)</f>
        <v/>
      </c>
    </row>
    <row r="36" spans="1:12" x14ac:dyDescent="0.55000000000000004">
      <c r="A36" t="str">
        <f>IF(ISBLANK(Input!A36),"",Input!A36)</f>
        <v/>
      </c>
    </row>
    <row r="37" spans="1:12" x14ac:dyDescent="0.55000000000000004">
      <c r="A37" t="str">
        <f>IF(ISBLANK(Input!A37),"",Input!A37)</f>
        <v/>
      </c>
    </row>
    <row r="38" spans="1:12" x14ac:dyDescent="0.55000000000000004">
      <c r="A38" t="str">
        <f>IF(ISBLANK(Input!A38),"",Input!A38)</f>
        <v/>
      </c>
    </row>
    <row r="39" spans="1:12" x14ac:dyDescent="0.55000000000000004">
      <c r="A39" t="str">
        <f>IF(ISBLANK(Input!A39),"",Input!A39)</f>
        <v/>
      </c>
    </row>
    <row r="40" spans="1:12" x14ac:dyDescent="0.55000000000000004">
      <c r="A40" t="str">
        <f>IF(ISBLANK(Input!A40),"",Input!A40)</f>
        <v/>
      </c>
    </row>
    <row r="41" spans="1:12" x14ac:dyDescent="0.55000000000000004">
      <c r="A41" t="str">
        <f>IF(ISBLANK(Input!A41),"",Input!A41)</f>
        <v/>
      </c>
    </row>
    <row r="42" spans="1:12" x14ac:dyDescent="0.55000000000000004">
      <c r="A42" t="str">
        <f>IF(ISBLANK(Input!A42),"",Input!A42)</f>
        <v/>
      </c>
    </row>
    <row r="43" spans="1:12" x14ac:dyDescent="0.55000000000000004">
      <c r="A43" t="str">
        <f>IF(ISBLANK(Input!A43),"",Input!A43)</f>
        <v/>
      </c>
    </row>
    <row r="44" spans="1:12" x14ac:dyDescent="0.55000000000000004">
      <c r="A44" t="str">
        <f>IF(ISBLANK(Input!A44),"",Input!A44)</f>
        <v/>
      </c>
    </row>
    <row r="45" spans="1:12" x14ac:dyDescent="0.55000000000000004">
      <c r="A45" t="str">
        <f>IF(ISBLANK(Input!A45),"",Input!A45)</f>
        <v/>
      </c>
    </row>
    <row r="46" spans="1:12" x14ac:dyDescent="0.55000000000000004">
      <c r="A46" t="str">
        <f>IF(ISBLANK(Input!A46),"",Input!A46)</f>
        <v/>
      </c>
    </row>
    <row r="47" spans="1:12" x14ac:dyDescent="0.55000000000000004">
      <c r="A47" t="str">
        <f>IF(ISBLANK(Input!A47),"",Input!A47)</f>
        <v/>
      </c>
    </row>
    <row r="48" spans="1:12" x14ac:dyDescent="0.55000000000000004">
      <c r="A48" t="str">
        <f>IF(ISBLANK(Input!A48),"",Input!A48)</f>
        <v/>
      </c>
    </row>
    <row r="49" spans="1:12" x14ac:dyDescent="0.55000000000000004">
      <c r="A49" t="str">
        <f>IF(ISBLANK(Input!A49),"",Input!A49)</f>
        <v/>
      </c>
    </row>
    <row r="50" spans="1:12" x14ac:dyDescent="0.55000000000000004">
      <c r="A50" t="str">
        <f>IF(ISBLANK(Input!A50),"",Input!A50)</f>
        <v/>
      </c>
    </row>
    <row r="51" spans="1:12" x14ac:dyDescent="0.55000000000000004">
      <c r="A51" t="str">
        <f>IF(ISBLANK(Input!A51),"",Input!A51)</f>
        <v/>
      </c>
    </row>
    <row r="52" spans="1:12" x14ac:dyDescent="0.55000000000000004">
      <c r="A52" t="str">
        <f>IF(ISBLANK(Input!A52),"",Input!A52)</f>
        <v/>
      </c>
    </row>
    <row r="53" spans="1:12" x14ac:dyDescent="0.55000000000000004">
      <c r="A53" t="str">
        <f>IF(ISBLANK(Input!A53),"",Input!A53)</f>
        <v/>
      </c>
    </row>
    <row r="54" spans="1:12" x14ac:dyDescent="0.55000000000000004">
      <c r="A54" t="str">
        <f>IF(ISBLANK(Input!A54),"",Input!A54)</f>
        <v/>
      </c>
    </row>
    <row r="55" spans="1:12" x14ac:dyDescent="0.55000000000000004">
      <c r="A55" t="str">
        <f>IF(ISBLANK(Input!A55),"",Input!A55)</f>
        <v/>
      </c>
    </row>
    <row r="56" spans="1:12" x14ac:dyDescent="0.55000000000000004">
      <c r="A56" t="str">
        <f>IF(ISBLANK(Input!A56),"",Input!A56)</f>
        <v/>
      </c>
    </row>
    <row r="57" spans="1:12" x14ac:dyDescent="0.55000000000000004">
      <c r="A57" t="str">
        <f>IF(ISBLANK(Input!A57),"",Input!A57)</f>
        <v/>
      </c>
    </row>
    <row r="58" spans="1:12" x14ac:dyDescent="0.55000000000000004">
      <c r="A58" t="str">
        <f>IF(ISBLANK(Input!A58),"",Input!A58)</f>
        <v/>
      </c>
    </row>
    <row r="59" spans="1:12" x14ac:dyDescent="0.55000000000000004">
      <c r="A59" t="str">
        <f>IF(ISBLANK(Input!A59),"",Input!A59)</f>
        <v/>
      </c>
    </row>
    <row r="60" spans="1:12" x14ac:dyDescent="0.55000000000000004">
      <c r="A60" t="str">
        <f>IF(ISBLANK(Input!A60),"",Input!A60)</f>
        <v/>
      </c>
    </row>
    <row r="61" spans="1:12" x14ac:dyDescent="0.55000000000000004">
      <c r="A61" t="str">
        <f>IF(ISBLANK(Input!A61),"",Input!A61)</f>
        <v/>
      </c>
    </row>
    <row r="62" spans="1:12" x14ac:dyDescent="0.55000000000000004">
      <c r="A62" t="str">
        <f>IF(ISBLANK(Input!A62),"",Input!A62)</f>
        <v/>
      </c>
    </row>
    <row r="63" spans="1:12" x14ac:dyDescent="0.55000000000000004">
      <c r="A63" t="str">
        <f>IF(ISBLANK(Input!A63),"",Input!A63)</f>
        <v/>
      </c>
    </row>
    <row r="64" spans="1:12" x14ac:dyDescent="0.55000000000000004">
      <c r="A64" t="str">
        <f>IF(ISBLANK(Input!A64),"",Input!A64)</f>
        <v/>
      </c>
    </row>
    <row r="65" spans="1:12" x14ac:dyDescent="0.55000000000000004">
      <c r="A65" t="str">
        <f>IF(ISBLANK(Input!A65),"",Input!A65)</f>
        <v/>
      </c>
    </row>
    <row r="66" spans="1:12" x14ac:dyDescent="0.55000000000000004">
      <c r="A66" t="str">
        <f>IF(ISBLANK(Input!A66),"",Input!A66)</f>
        <v/>
      </c>
    </row>
    <row r="67" spans="1:12" x14ac:dyDescent="0.55000000000000004">
      <c r="A67" t="str">
        <f>IF(ISBLANK(Input!A67),"",Input!A67)</f>
        <v/>
      </c>
    </row>
    <row r="68" spans="1:12" x14ac:dyDescent="0.55000000000000004">
      <c r="A68" t="str">
        <f>IF(ISBLANK(Input!A68),"",Input!A68)</f>
        <v/>
      </c>
    </row>
    <row r="69" spans="1:12" x14ac:dyDescent="0.55000000000000004">
      <c r="A69" t="str">
        <f>IF(ISBLANK(Input!A69),"",Input!A69)</f>
        <v/>
      </c>
    </row>
    <row r="70" spans="1:12" x14ac:dyDescent="0.55000000000000004">
      <c r="A70" t="str">
        <f>IF(ISBLANK(Input!A70),"",Input!A70)</f>
        <v/>
      </c>
    </row>
    <row r="71" spans="1:12" x14ac:dyDescent="0.55000000000000004">
      <c r="A71" t="str">
        <f>IF(ISBLANK(Input!A71),"",Input!A71)</f>
        <v/>
      </c>
    </row>
    <row r="72" spans="1:12" x14ac:dyDescent="0.55000000000000004">
      <c r="A72" t="str">
        <f>IF(ISBLANK(Input!A72),"",Input!A72)</f>
        <v/>
      </c>
    </row>
    <row r="73" spans="1:12" x14ac:dyDescent="0.55000000000000004">
      <c r="A73" t="str">
        <f>IF(ISBLANK(Input!A73),"",Input!A73)</f>
        <v/>
      </c>
    </row>
    <row r="74" spans="1:12" x14ac:dyDescent="0.55000000000000004">
      <c r="A74" t="str">
        <f>IF(ISBLANK(Input!A74),"",Input!A74)</f>
        <v/>
      </c>
    </row>
    <row r="75" spans="1:12" x14ac:dyDescent="0.55000000000000004">
      <c r="A75" t="str">
        <f>IF(ISBLANK(Input!A75),"",Input!A75)</f>
        <v/>
      </c>
    </row>
    <row r="76" spans="1:12" x14ac:dyDescent="0.55000000000000004">
      <c r="A76" t="str">
        <f>IF(ISBLANK(Input!A76),"",Input!A76)</f>
        <v/>
      </c>
    </row>
    <row r="77" spans="1:12" x14ac:dyDescent="0.55000000000000004">
      <c r="A77" t="str">
        <f>IF(ISBLANK(Input!A77),"",Input!A77)</f>
        <v/>
      </c>
    </row>
    <row r="78" spans="1:12" x14ac:dyDescent="0.55000000000000004">
      <c r="A78" t="str">
        <f>IF(ISBLANK(Input!A78),"",Input!A78)</f>
        <v/>
      </c>
    </row>
    <row r="79" spans="1:12" x14ac:dyDescent="0.55000000000000004">
      <c r="A79" t="str">
        <f>IF(ISBLANK(Input!A79),"",Input!A79)</f>
        <v/>
      </c>
    </row>
    <row r="80" spans="1:12" x14ac:dyDescent="0.55000000000000004">
      <c r="A80" t="str">
        <f>IF(ISBLANK(Input!A80),"",Input!A80)</f>
        <v/>
      </c>
    </row>
    <row r="81" spans="1:12" x14ac:dyDescent="0.55000000000000004">
      <c r="A81" t="str">
        <f>IF(ISBLANK(Input!A81),"",Input!A81)</f>
        <v/>
      </c>
    </row>
    <row r="82" spans="1:12" x14ac:dyDescent="0.55000000000000004">
      <c r="A82" t="str">
        <f>IF(ISBLANK(Input!A82),"",Input!A82)</f>
        <v/>
      </c>
    </row>
    <row r="83" spans="1:12" x14ac:dyDescent="0.55000000000000004">
      <c r="A83" t="str">
        <f>IF(ISBLANK(Input!A83),"",Input!A83)</f>
        <v/>
      </c>
    </row>
    <row r="84" spans="1:12" x14ac:dyDescent="0.55000000000000004">
      <c r="A84" t="str">
        <f>IF(ISBLANK(Input!A84),"",Input!A84)</f>
        <v/>
      </c>
    </row>
    <row r="85" spans="1:12" x14ac:dyDescent="0.55000000000000004">
      <c r="A85" t="str">
        <f>IF(ISBLANK(Input!A85),"",Input!A85)</f>
        <v/>
      </c>
    </row>
    <row r="86" spans="1:12" x14ac:dyDescent="0.55000000000000004">
      <c r="A86" t="str">
        <f>IF(ISBLANK(Input!A86),"",Input!A86)</f>
        <v/>
      </c>
    </row>
    <row r="87" spans="1:12" x14ac:dyDescent="0.55000000000000004">
      <c r="A87" t="str">
        <f>IF(ISBLANK(Input!A87),"",Input!A87)</f>
        <v/>
      </c>
    </row>
    <row r="88" spans="1:12" x14ac:dyDescent="0.55000000000000004">
      <c r="A88" t="str">
        <f>IF(ISBLANK(Input!A88),"",Input!A88)</f>
        <v/>
      </c>
    </row>
    <row r="89" spans="1:12" x14ac:dyDescent="0.55000000000000004">
      <c r="A89" t="str">
        <f>IF(ISBLANK(Input!A89),"",Input!A89)</f>
        <v/>
      </c>
    </row>
    <row r="90" spans="1:12" x14ac:dyDescent="0.55000000000000004">
      <c r="A90" t="str">
        <f>IF(ISBLANK(Input!A90),"",Input!A90)</f>
        <v/>
      </c>
    </row>
    <row r="91" spans="1:12" x14ac:dyDescent="0.55000000000000004">
      <c r="A91" t="str">
        <f>IF(ISBLANK(Input!A91),"",Input!A91)</f>
        <v/>
      </c>
    </row>
    <row r="92" spans="1:12" x14ac:dyDescent="0.55000000000000004">
      <c r="A92" t="str">
        <f>IF(ISBLANK(Input!A92),"",Input!A92)</f>
        <v/>
      </c>
    </row>
    <row r="93" spans="1:12" x14ac:dyDescent="0.55000000000000004">
      <c r="A93" t="str">
        <f>IF(ISBLANK(Input!A93),"",Input!A93)</f>
        <v/>
      </c>
    </row>
    <row r="94" spans="1:12" x14ac:dyDescent="0.55000000000000004">
      <c r="A94" t="str">
        <f>IF(ISBLANK(Input!A94),"",Input!A94)</f>
        <v/>
      </c>
    </row>
    <row r="95" spans="1:12" x14ac:dyDescent="0.55000000000000004">
      <c r="A95" t="str">
        <f>IF(ISBLANK(Input!A95),"",Input!A95)</f>
        <v/>
      </c>
    </row>
    <row r="96" spans="1:12" x14ac:dyDescent="0.55000000000000004">
      <c r="A96" t="str">
        <f>IF(ISBLANK(Input!A96),"",Input!A96)</f>
        <v/>
      </c>
    </row>
    <row r="97" spans="1:12" x14ac:dyDescent="0.55000000000000004">
      <c r="A97" t="str">
        <f>IF(ISBLANK(Input!A97),"",Input!A97)</f>
        <v/>
      </c>
    </row>
    <row r="98" spans="1:12" x14ac:dyDescent="0.55000000000000004">
      <c r="A98" t="str">
        <f>IF(ISBLANK(Input!A98),"",Input!A98)</f>
        <v/>
      </c>
    </row>
    <row r="99" spans="1:12" x14ac:dyDescent="0.55000000000000004">
      <c r="A99" t="str">
        <f>IF(ISBLANK(Input!A99),"",Input!A99)</f>
        <v/>
      </c>
    </row>
    <row r="100" spans="1:12" x14ac:dyDescent="0.55000000000000004">
      <c r="A100" t="str">
        <f>IF(ISBLANK(Input!A100),"",Input!A100)</f>
        <v/>
      </c>
    </row>
    <row r="101" spans="1:12" x14ac:dyDescent="0.55000000000000004">
      <c r="A101" t="str">
        <f>IF(ISBLANK(Input!A101),"",Input!A101)</f>
        <v/>
      </c>
    </row>
    <row r="102" spans="1:12" x14ac:dyDescent="0.55000000000000004">
      <c r="A102" t="str">
        <f>IF(ISBLANK(Input!A102),"",Input!A102)</f>
        <v/>
      </c>
    </row>
    <row r="103" spans="1:12" x14ac:dyDescent="0.55000000000000004">
      <c r="A103" t="str">
        <f>IF(ISBLANK(Input!A103),"",Input!A103)</f>
        <v/>
      </c>
    </row>
    <row r="104" spans="1:12" x14ac:dyDescent="0.55000000000000004">
      <c r="A104" t="str">
        <f>IF(ISBLANK(Input!A104),"",Input!A104)</f>
        <v/>
      </c>
    </row>
    <row r="105" spans="1:12" x14ac:dyDescent="0.55000000000000004">
      <c r="A105" t="str">
        <f>IF(ISBLANK(Input!A105),"",Input!A105)</f>
        <v/>
      </c>
    </row>
    <row r="106" spans="1:12" x14ac:dyDescent="0.55000000000000004">
      <c r="A106" t="str">
        <f>IF(ISBLANK(Input!A106),"",Input!A106)</f>
        <v/>
      </c>
    </row>
    <row r="107" spans="1:12" x14ac:dyDescent="0.55000000000000004">
      <c r="A107" t="str">
        <f>IF(ISBLANK(Input!A107),"",Input!A107)</f>
        <v/>
      </c>
    </row>
    <row r="108" spans="1:12" x14ac:dyDescent="0.55000000000000004">
      <c r="A108" t="str">
        <f>IF(ISBLANK(Input!A108),"",Input!A108)</f>
        <v/>
      </c>
    </row>
    <row r="109" spans="1:12" x14ac:dyDescent="0.55000000000000004">
      <c r="A109" t="str">
        <f>IF(ISBLANK(Input!A109),"",Input!A109)</f>
        <v/>
      </c>
    </row>
    <row r="110" spans="1:12" x14ac:dyDescent="0.55000000000000004">
      <c r="A110" t="str">
        <f>IF(ISBLANK(Input!A110),"",Input!A110)</f>
        <v/>
      </c>
    </row>
    <row r="111" spans="1:12" x14ac:dyDescent="0.55000000000000004">
      <c r="A111" t="str">
        <f>IF(ISBLANK(Input!A111),"",Input!A111)</f>
        <v/>
      </c>
    </row>
    <row r="112" spans="1:12" x14ac:dyDescent="0.55000000000000004">
      <c r="A112" t="str">
        <f>IF(ISBLANK(Input!A112),"",Input!A112)</f>
        <v/>
      </c>
    </row>
    <row r="113" spans="1:12" x14ac:dyDescent="0.55000000000000004">
      <c r="A113" t="str">
        <f>IF(ISBLANK(Input!A113),"",Input!A113)</f>
        <v/>
      </c>
    </row>
    <row r="114" spans="1:12" x14ac:dyDescent="0.55000000000000004">
      <c r="A114" t="str">
        <f>IF(ISBLANK(Input!A114),"",Input!A114)</f>
        <v/>
      </c>
    </row>
    <row r="115" spans="1:12" x14ac:dyDescent="0.55000000000000004">
      <c r="A115" t="str">
        <f>IF(ISBLANK(Input!A115),"",Input!A115)</f>
        <v/>
      </c>
    </row>
    <row r="116" spans="1:12" x14ac:dyDescent="0.55000000000000004">
      <c r="A116" t="str">
        <f>IF(ISBLANK(Input!A116),"",Input!A116)</f>
        <v/>
      </c>
    </row>
    <row r="117" spans="1:12" x14ac:dyDescent="0.55000000000000004">
      <c r="A117" t="str">
        <f>IF(ISBLANK(Input!A117),"",Input!A117)</f>
        <v/>
      </c>
    </row>
    <row r="118" spans="1:12" x14ac:dyDescent="0.55000000000000004">
      <c r="A118" t="str">
        <f>IF(ISBLANK(Input!A118),"",Input!A118)</f>
        <v/>
      </c>
    </row>
    <row r="119" spans="1:12" x14ac:dyDescent="0.55000000000000004">
      <c r="A119" t="str">
        <f>IF(ISBLANK(Input!A119),"",Input!A119)</f>
        <v/>
      </c>
    </row>
    <row r="120" spans="1:12" x14ac:dyDescent="0.55000000000000004">
      <c r="A120" t="str">
        <f>IF(ISBLANK(Input!A120),"",Input!A120)</f>
        <v/>
      </c>
    </row>
    <row r="121" spans="1:12" x14ac:dyDescent="0.55000000000000004">
      <c r="A121" t="str">
        <f>IF(ISBLANK(Input!A121),"",Input!A121)</f>
        <v/>
      </c>
    </row>
    <row r="122" spans="1:12" x14ac:dyDescent="0.55000000000000004">
      <c r="A122" t="str">
        <f>IF(ISBLANK(Input!A122),"",Input!A122)</f>
        <v/>
      </c>
    </row>
    <row r="123" spans="1:12" x14ac:dyDescent="0.55000000000000004">
      <c r="A123" t="str">
        <f>IF(ISBLANK(Input!A123),"",Input!A123)</f>
        <v/>
      </c>
    </row>
    <row r="124" spans="1:12" x14ac:dyDescent="0.55000000000000004">
      <c r="A124" t="str">
        <f>IF(ISBLANK(Input!A124),"",Input!A124)</f>
        <v/>
      </c>
    </row>
    <row r="125" spans="1:12" x14ac:dyDescent="0.55000000000000004">
      <c r="A125" t="str">
        <f>IF(ISBLANK(Input!A125),"",Input!A125)</f>
        <v/>
      </c>
    </row>
    <row r="126" spans="1:12" x14ac:dyDescent="0.55000000000000004">
      <c r="A126" t="str">
        <f>IF(ISBLANK(Input!A126),"",Input!A126)</f>
        <v/>
      </c>
    </row>
    <row r="127" spans="1:12" x14ac:dyDescent="0.55000000000000004">
      <c r="A127" t="str">
        <f>IF(ISBLANK(Input!A127),"",Input!A127)</f>
        <v/>
      </c>
    </row>
    <row r="128" spans="1:12" x14ac:dyDescent="0.55000000000000004">
      <c r="A128" t="str">
        <f>IF(ISBLANK(Input!A128),"",Input!A128)</f>
        <v/>
      </c>
    </row>
    <row r="129" spans="1:12" x14ac:dyDescent="0.55000000000000004">
      <c r="A129" t="str">
        <f>IF(ISBLANK(Input!A129),"",Input!A129)</f>
        <v/>
      </c>
    </row>
    <row r="130" spans="1:12" x14ac:dyDescent="0.55000000000000004">
      <c r="A130" t="str">
        <f>IF(ISBLANK(Input!A130),"",Input!A130)</f>
        <v/>
      </c>
    </row>
    <row r="131" spans="1:12" x14ac:dyDescent="0.55000000000000004">
      <c r="A131" t="str">
        <f>IF(ISBLANK(Input!A131),"",Input!A131)</f>
        <v/>
      </c>
    </row>
    <row r="132" spans="1:12" x14ac:dyDescent="0.55000000000000004">
      <c r="A132" t="str">
        <f>IF(ISBLANK(Input!A132),"",Input!A132)</f>
        <v/>
      </c>
    </row>
    <row r="133" spans="1:12" x14ac:dyDescent="0.55000000000000004">
      <c r="A133" t="str">
        <f>IF(ISBLANK(Input!A133),"",Input!A133)</f>
        <v/>
      </c>
    </row>
    <row r="134" spans="1:12" x14ac:dyDescent="0.55000000000000004">
      <c r="A134" t="str">
        <f>IF(ISBLANK(Input!A134),"",Input!A134)</f>
        <v/>
      </c>
    </row>
    <row r="135" spans="1:12" x14ac:dyDescent="0.55000000000000004">
      <c r="A135" t="str">
        <f>IF(ISBLANK(Input!A135),"",Input!A135)</f>
        <v/>
      </c>
    </row>
    <row r="136" spans="1:12" x14ac:dyDescent="0.55000000000000004">
      <c r="A136" t="str">
        <f>IF(ISBLANK(Input!A136),"",Input!A136)</f>
        <v/>
      </c>
    </row>
    <row r="137" spans="1:12" x14ac:dyDescent="0.55000000000000004">
      <c r="A137" t="str">
        <f>IF(ISBLANK(Input!A137),"",Input!A137)</f>
        <v/>
      </c>
    </row>
    <row r="138" spans="1:12" x14ac:dyDescent="0.55000000000000004">
      <c r="A138" t="str">
        <f>IF(ISBLANK(Input!A138),"",Input!A138)</f>
        <v/>
      </c>
    </row>
    <row r="139" spans="1:12" x14ac:dyDescent="0.55000000000000004">
      <c r="A139" t="str">
        <f>IF(ISBLANK(Input!A139),"",Input!A139)</f>
        <v/>
      </c>
    </row>
    <row r="140" spans="1:12" x14ac:dyDescent="0.55000000000000004">
      <c r="A140" t="str">
        <f>IF(ISBLANK(Input!A140),"",Input!A140)</f>
        <v/>
      </c>
    </row>
    <row r="141" spans="1:12" x14ac:dyDescent="0.55000000000000004">
      <c r="A141" t="str">
        <f>IF(ISBLANK(Input!A141),"",Input!A141)</f>
        <v/>
      </c>
    </row>
    <row r="142" spans="1:12" x14ac:dyDescent="0.55000000000000004">
      <c r="A142" t="str">
        <f>IF(ISBLANK(Input!A142),"",Input!A142)</f>
        <v/>
      </c>
    </row>
    <row r="143" spans="1:12" x14ac:dyDescent="0.55000000000000004">
      <c r="A143" t="str">
        <f>IF(ISBLANK(Input!A143),"",Input!A143)</f>
        <v/>
      </c>
    </row>
    <row r="144" spans="1:12" x14ac:dyDescent="0.55000000000000004">
      <c r="A144" t="str">
        <f>IF(ISBLANK(Input!A144),"",Input!A144)</f>
        <v/>
      </c>
    </row>
    <row r="145" spans="1:12" x14ac:dyDescent="0.55000000000000004">
      <c r="A145" t="str">
        <f>IF(ISBLANK(Input!A145),"",Input!A145)</f>
        <v/>
      </c>
    </row>
    <row r="146" spans="1:12" x14ac:dyDescent="0.55000000000000004">
      <c r="A146" t="str">
        <f>IF(ISBLANK(Input!A146),"",Input!A146)</f>
        <v/>
      </c>
    </row>
    <row r="147" spans="1:12" x14ac:dyDescent="0.55000000000000004">
      <c r="A147" t="str">
        <f>IF(ISBLANK(Input!A147),"",Input!A147)</f>
        <v/>
      </c>
    </row>
    <row r="148" spans="1:12" x14ac:dyDescent="0.55000000000000004">
      <c r="A148" t="str">
        <f>IF(ISBLANK(Input!A148),"",Input!A148)</f>
        <v/>
      </c>
    </row>
    <row r="149" spans="1:12" x14ac:dyDescent="0.55000000000000004">
      <c r="A149" t="str">
        <f>IF(ISBLANK(Input!A149),"",Input!A149)</f>
        <v/>
      </c>
    </row>
    <row r="150" spans="1:12" x14ac:dyDescent="0.55000000000000004">
      <c r="A150" t="str">
        <f>IF(ISBLANK(Input!A150),"",Input!A150)</f>
        <v/>
      </c>
    </row>
    <row r="151" spans="1:12" x14ac:dyDescent="0.55000000000000004">
      <c r="A151" t="str">
        <f>IF(ISBLANK(Input!A151),"",Input!A151)</f>
        <v/>
      </c>
    </row>
    <row r="152" spans="1:12" x14ac:dyDescent="0.55000000000000004">
      <c r="A152" t="str">
        <f>IF(ISBLANK(Input!A152),"",Input!A152)</f>
        <v/>
      </c>
    </row>
    <row r="153" spans="1:12" x14ac:dyDescent="0.55000000000000004">
      <c r="A153" t="str">
        <f>IF(ISBLANK(Input!A153),"",Input!A153)</f>
        <v/>
      </c>
    </row>
    <row r="154" spans="1:12" x14ac:dyDescent="0.55000000000000004">
      <c r="A154" t="str">
        <f>IF(ISBLANK(Input!A154),"",Input!A154)</f>
        <v/>
      </c>
    </row>
    <row r="155" spans="1:12" x14ac:dyDescent="0.55000000000000004">
      <c r="A155" t="str">
        <f>IF(ISBLANK(Input!A155),"",Input!A155)</f>
        <v/>
      </c>
    </row>
    <row r="156" spans="1:12" x14ac:dyDescent="0.55000000000000004">
      <c r="A156" t="str">
        <f>IF(ISBLANK(Input!A156),"",Input!A156)</f>
        <v/>
      </c>
    </row>
    <row r="157" spans="1:12" x14ac:dyDescent="0.55000000000000004">
      <c r="A157" t="str">
        <f>IF(ISBLANK(Input!A157),"",Input!A157)</f>
        <v/>
      </c>
    </row>
    <row r="158" spans="1:12" x14ac:dyDescent="0.55000000000000004">
      <c r="A158" t="str">
        <f>IF(ISBLANK(Input!A158),"",Input!A158)</f>
        <v/>
      </c>
    </row>
    <row r="159" spans="1:12" x14ac:dyDescent="0.55000000000000004">
      <c r="A159" t="str">
        <f>IF(ISBLANK(Input!A159),"",Input!A159)</f>
        <v/>
      </c>
    </row>
    <row r="160" spans="1:12" x14ac:dyDescent="0.55000000000000004">
      <c r="A160" t="str">
        <f>IF(ISBLANK(Input!A160),"",Input!A160)</f>
        <v/>
      </c>
    </row>
    <row r="161" spans="1:12" x14ac:dyDescent="0.55000000000000004">
      <c r="A161" t="str">
        <f>IF(ISBLANK(Input!A161),"",Input!A161)</f>
        <v/>
      </c>
    </row>
    <row r="162" spans="1:12" x14ac:dyDescent="0.55000000000000004">
      <c r="A162" t="str">
        <f>IF(ISBLANK(Input!A162),"",Input!A162)</f>
        <v/>
      </c>
    </row>
    <row r="163" spans="1:12" x14ac:dyDescent="0.55000000000000004">
      <c r="A163" t="str">
        <f>IF(ISBLANK(Input!A163),"",Input!A163)</f>
        <v/>
      </c>
    </row>
    <row r="164" spans="1:12" x14ac:dyDescent="0.55000000000000004">
      <c r="A164" t="str">
        <f>IF(ISBLANK(Input!A164),"",Input!A164)</f>
        <v/>
      </c>
    </row>
    <row r="165" spans="1:12" x14ac:dyDescent="0.55000000000000004">
      <c r="A165" t="str">
        <f>IF(ISBLANK(Input!A165),"",Input!A165)</f>
        <v/>
      </c>
    </row>
    <row r="166" spans="1:12" x14ac:dyDescent="0.55000000000000004">
      <c r="A166" t="str">
        <f>IF(ISBLANK(Input!A166),"",Input!A166)</f>
        <v/>
      </c>
    </row>
    <row r="167" spans="1:12" x14ac:dyDescent="0.55000000000000004">
      <c r="A167" t="str">
        <f>IF(ISBLANK(Input!A167),"",Input!A167)</f>
        <v/>
      </c>
    </row>
    <row r="168" spans="1:12" x14ac:dyDescent="0.55000000000000004">
      <c r="A168" t="str">
        <f>IF(ISBLANK(Input!A168),"",Input!A168)</f>
        <v/>
      </c>
    </row>
    <row r="169" spans="1:12" x14ac:dyDescent="0.55000000000000004">
      <c r="A169" t="str">
        <f>IF(ISBLANK(Input!A169),"",Input!A169)</f>
        <v/>
      </c>
    </row>
    <row r="170" spans="1:12" x14ac:dyDescent="0.55000000000000004">
      <c r="A170" t="str">
        <f>IF(ISBLANK(Input!A170),"",Input!A170)</f>
        <v/>
      </c>
    </row>
    <row r="171" spans="1:12" x14ac:dyDescent="0.55000000000000004">
      <c r="A171" t="str">
        <f>IF(ISBLANK(Input!A171),"",Input!A171)</f>
        <v/>
      </c>
    </row>
    <row r="172" spans="1:12" x14ac:dyDescent="0.55000000000000004">
      <c r="A172" t="str">
        <f>IF(ISBLANK(Input!A172),"",Input!A172)</f>
        <v/>
      </c>
    </row>
    <row r="173" spans="1:12" x14ac:dyDescent="0.55000000000000004">
      <c r="A173" t="str">
        <f>IF(ISBLANK(Input!A173),"",Input!A173)</f>
        <v/>
      </c>
    </row>
    <row r="174" spans="1:12" x14ac:dyDescent="0.55000000000000004">
      <c r="A174" t="str">
        <f>IF(ISBLANK(Input!A174),"",Input!A174)</f>
        <v/>
      </c>
    </row>
    <row r="175" spans="1:12" x14ac:dyDescent="0.55000000000000004">
      <c r="A175" t="str">
        <f>IF(ISBLANK(Input!A175),"",Input!A175)</f>
        <v/>
      </c>
    </row>
    <row r="176" spans="1:12" x14ac:dyDescent="0.55000000000000004">
      <c r="A176" t="str">
        <f>IF(ISBLANK(Input!A176),"",Input!A176)</f>
        <v/>
      </c>
    </row>
    <row r="177" spans="1:12" x14ac:dyDescent="0.55000000000000004">
      <c r="A177" t="str">
        <f>IF(ISBLANK(Input!A177),"",Input!A177)</f>
        <v/>
      </c>
    </row>
    <row r="178" spans="1:12" x14ac:dyDescent="0.55000000000000004">
      <c r="A178" t="str">
        <f>IF(ISBLANK(Input!A178),"",Input!A178)</f>
        <v/>
      </c>
    </row>
    <row r="179" spans="1:12" x14ac:dyDescent="0.55000000000000004">
      <c r="A179" t="str">
        <f>IF(ISBLANK(Input!A179),"",Input!A179)</f>
        <v/>
      </c>
    </row>
    <row r="180" spans="1:12" x14ac:dyDescent="0.55000000000000004">
      <c r="A180" t="str">
        <f>IF(ISBLANK(Input!A180),"",Input!A180)</f>
        <v/>
      </c>
    </row>
    <row r="181" spans="1:12" x14ac:dyDescent="0.55000000000000004">
      <c r="A181" t="str">
        <f>IF(ISBLANK(Input!A181),"",Input!A181)</f>
        <v/>
      </c>
    </row>
    <row r="182" spans="1:12" x14ac:dyDescent="0.55000000000000004">
      <c r="A182" t="str">
        <f>IF(ISBLANK(Input!A182),"",Input!A182)</f>
        <v/>
      </c>
    </row>
    <row r="183" spans="1:12" x14ac:dyDescent="0.55000000000000004">
      <c r="A183" t="str">
        <f>IF(ISBLANK(Input!A183),"",Input!A183)</f>
        <v/>
      </c>
    </row>
    <row r="184" spans="1:12" x14ac:dyDescent="0.55000000000000004">
      <c r="A184" t="str">
        <f>IF(ISBLANK(Input!A184),"",Input!A184)</f>
        <v/>
      </c>
    </row>
    <row r="185" spans="1:12" x14ac:dyDescent="0.55000000000000004">
      <c r="A185" t="str">
        <f>IF(ISBLANK(Input!A185),"",Input!A185)</f>
        <v/>
      </c>
    </row>
    <row r="186" spans="1:12" x14ac:dyDescent="0.55000000000000004">
      <c r="A186" t="str">
        <f>IF(ISBLANK(Input!A186),"",Input!A186)</f>
        <v/>
      </c>
    </row>
    <row r="187" spans="1:12" x14ac:dyDescent="0.55000000000000004">
      <c r="A187" t="str">
        <f>IF(ISBLANK(Input!A187),"",Input!A187)</f>
        <v/>
      </c>
    </row>
    <row r="188" spans="1:12" x14ac:dyDescent="0.55000000000000004">
      <c r="A188" t="str">
        <f>IF(ISBLANK(Input!A188),"",Input!A188)</f>
        <v/>
      </c>
    </row>
    <row r="189" spans="1:12" x14ac:dyDescent="0.55000000000000004">
      <c r="A189" t="str">
        <f>IF(ISBLANK(Input!A189),"",Input!A189)</f>
        <v/>
      </c>
    </row>
    <row r="190" spans="1:12" x14ac:dyDescent="0.55000000000000004">
      <c r="A190" t="str">
        <f>IF(ISBLANK(Input!A190),"",Input!A190)</f>
        <v/>
      </c>
    </row>
    <row r="191" spans="1:12" x14ac:dyDescent="0.55000000000000004">
      <c r="A191" t="str">
        <f>IF(ISBLANK(Input!A191),"",Input!A191)</f>
        <v/>
      </c>
    </row>
    <row r="192" spans="1:12" x14ac:dyDescent="0.55000000000000004">
      <c r="A192" t="str">
        <f>IF(ISBLANK(Input!A192),"",Input!A192)</f>
        <v/>
      </c>
    </row>
    <row r="193" spans="1:12" x14ac:dyDescent="0.55000000000000004">
      <c r="A193" t="str">
        <f>IF(ISBLANK(Input!A193),"",Input!A193)</f>
        <v/>
      </c>
    </row>
    <row r="194" spans="1:12" x14ac:dyDescent="0.55000000000000004">
      <c r="A194" t="str">
        <f>IF(ISBLANK(Input!A194),"",Input!A194)</f>
        <v/>
      </c>
    </row>
    <row r="195" spans="1:12" x14ac:dyDescent="0.55000000000000004">
      <c r="A195" t="str">
        <f>IF(ISBLANK(Input!A195),"",Input!A195)</f>
        <v/>
      </c>
    </row>
    <row r="196" spans="1:12" x14ac:dyDescent="0.55000000000000004">
      <c r="A196" t="str">
        <f>IF(ISBLANK(Input!A196),"",Input!A196)</f>
        <v/>
      </c>
    </row>
    <row r="197" spans="1:12" x14ac:dyDescent="0.55000000000000004">
      <c r="A197" t="str">
        <f>IF(ISBLANK(Input!A197),"",Input!A197)</f>
        <v/>
      </c>
    </row>
    <row r="198" spans="1:12" x14ac:dyDescent="0.55000000000000004">
      <c r="A198" t="str">
        <f>IF(ISBLANK(Input!A198),"",Input!A198)</f>
        <v/>
      </c>
    </row>
    <row r="199" spans="1:12" x14ac:dyDescent="0.55000000000000004">
      <c r="A199" t="str">
        <f>IF(ISBLANK(Input!A199),"",Input!A199)</f>
        <v/>
      </c>
    </row>
    <row r="200" spans="1:12" x14ac:dyDescent="0.55000000000000004">
      <c r="A200" t="str">
        <f>IF(ISBLANK(Input!A200),"",Input!A200)</f>
        <v/>
      </c>
    </row>
    <row r="201" spans="1:12" x14ac:dyDescent="0.55000000000000004">
      <c r="A201" t="str">
        <f>IF(ISBLANK(Input!A201),"",Input!A201)</f>
        <v/>
      </c>
    </row>
    <row r="202" spans="1:12" x14ac:dyDescent="0.55000000000000004">
      <c r="A202" t="str">
        <f>IF(ISBLANK(Input!A202),"",Input!A202)</f>
        <v/>
      </c>
    </row>
    <row r="203" spans="1:12" x14ac:dyDescent="0.55000000000000004">
      <c r="A203" t="str">
        <f>IF(ISBLANK(Input!A203),"",Input!A203)</f>
        <v/>
      </c>
    </row>
    <row r="204" spans="1:12" x14ac:dyDescent="0.55000000000000004">
      <c r="A204" t="str">
        <f>IF(ISBLANK(Input!A204),"",Input!A204)</f>
        <v/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Benji Northrop</dc:creator>
  <cp:lastModifiedBy>Benjamin Northrop</cp:lastModifiedBy>
  <dcterms:created xsi:type="dcterms:W3CDTF">2023-11-21T18:49:52Z</dcterms:created>
  <dcterms:modified xsi:type="dcterms:W3CDTF">2023-11-21T21:49:26Z</dcterms:modified>
</cp:coreProperties>
</file>